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C6B0083-5B8F-4088-964C-AAC447C859DF}" xr6:coauthVersionLast="47" xr6:coauthVersionMax="47" xr10:uidLastSave="{00000000-0000-0000-0000-000000000000}"/>
  <bookViews>
    <workbookView xWindow="-120" yWindow="-120" windowWidth="29040" windowHeight="15720" tabRatio="500" activeTab="2" xr2:uid="{00000000-000D-0000-FFFF-FFFF00000000}"/>
  </bookViews>
  <sheets>
    <sheet name="Instructions" sheetId="1" r:id="rId1"/>
    <sheet name="s"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6" i="3" l="1"/>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<sst xmlns="http://schemas.openxmlformats.org/spreadsheetml/2006/main" count="839" uniqueCount="447">
  <si>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</si>
  <si>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</si>
  <si>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</si>
  <si>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</si>
  <si>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</si>
  <si>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</si>
  <si>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</si>
  <si>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</si>
  <si>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</si>
  <si>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</si>
  <si>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</si>
  <si>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</si>
  <si>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</si>
  <si>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</si>
  <si>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</si>
  <si>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</si>
  <si>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</si>
  <si>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</si>
  <si>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</si>
  <si>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</si>
  <si>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</si>
  <si>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</si>
  <si>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</si>
  <si>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</si>
  <si>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</si>
  <si>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</si>
  <si>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</si>
  <si>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</si>
  <si>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</si>
  <si>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</si>
  <si>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</si>
  <si>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</si>
  <si>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</si>
  <si>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</si>
  <si>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</si>
  <si>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</si>
  <si>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</si>
  <si>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</si>
  <si>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</si>
  <si>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</si>
  <si>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</si>
  <si>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</si>
  <si>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</si>
  <si>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</si>
  <si>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</si>
  <si>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</si>
  <si>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Web Vortex</t>
  </si>
  <si>
    <t>Completed</t>
  </si>
  <si>
    <t>Project title</t>
  </si>
  <si>
    <t>Vehicle Service Management System (VSMS) for Mister Auto &amp; Turbo</t>
  </si>
  <si>
    <t>In Progress</t>
  </si>
  <si>
    <t>Stakeholder or organisation</t>
  </si>
  <si>
    <t>Mister Auto &amp; Turbo — Motlokoa Tsotesi (Managing Director / Owner)</t>
  </si>
  <si>
    <t>Not Started</t>
  </si>
  <si>
    <t>Group mentor</t>
  </si>
  <si>
    <t>[Group mentor — insert]</t>
  </si>
  <si>
    <t>Delayed</t>
  </si>
  <si>
    <t>Reporting phase</t>
  </si>
  <si>
    <t>Blocked</t>
  </si>
  <si>
    <t>Reporting period</t>
  </si>
  <si>
    <t>12/10/2026 - 06/11/2026</t>
  </si>
  <si>
    <t>Overdue</t>
  </si>
  <si>
    <t>Overall status</t>
  </si>
  <si>
    <t>Overall % complete</t>
  </si>
  <si>
    <t>Contribution Summary</t>
  </si>
  <si>
    <t>Main achievement</t>
  </si>
  <si>
    <t>Supabase backend, ASP.NET web application and Flutter mobile application built on the one shared Supabase project, with authentication and role-based access, integration testing and manual testing completed (P3-01 to P3-13). The working prototype was demonstrated to the stakeholder on 21/10/2026.</t>
  </si>
  <si>
    <t>Contribution entries</t>
  </si>
  <si>
    <t>Main challenge</t>
  </si>
  <si>
    <t>Short build windows and keeping the Flutter and ASP.NET applications on the same Supabase tables and keys. A security flaw in public registration and unfinished Appointments, Job Card and profile-edit features were found and fixed (all Resolved in Challenges &amp; Actions).</t>
  </si>
  <si>
    <t>Verified entries</t>
  </si>
  <si>
    <t>Next planned activity</t>
  </si>
  <si>
    <t>Update the SRS with the changes the stakeholder approved, confirm hours and evidence for every member, and prepare the final demonstration and final reflection.</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</si>
  <si>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</si>
  <si>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</si>
  <si>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</si>
  <si>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</si>
  <si>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</si>
  <si>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</si>
  <si>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</si>
  <si>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</si>
  <si>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</si>
  <si>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</si>
  <si>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</si>
  <si>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</si>
  <si>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</si>
  <si>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</si>
  <si>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</si>
  <si>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</si>
  <si>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</si>
  <si>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</si>
  <si>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</si>
  <si>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LE Letsie</t>
  </si>
  <si>
    <t>25/08/2026</t>
  </si>
  <si>
    <t>26/08/2026</t>
  </si>
  <si>
    <t>Signed Stakeholder Cooperation &amp; Information Use Agreement (Appendix B) with Mister Auto &amp; Turbo, dated 25/08/2026.</t>
  </si>
  <si>
    <t>Yes</t>
  </si>
  <si>
    <t>U1-02</t>
  </si>
  <si>
    <t>Document the current process and problem</t>
  </si>
  <si>
    <t>RG Madi</t>
  </si>
  <si>
    <t>SRS Section 3 (Problem Statement), Section 9 (Current Process and Diagram) and Appendix D (Current Process Evidence).</t>
  </si>
  <si>
    <t>U1-03</t>
  </si>
  <si>
    <t>Define the project aim, objectives and scope</t>
  </si>
  <si>
    <t>NM Netshituka</t>
  </si>
  <si>
    <t>SRS Section 4 (Aim and Objectives) and Section 5 (Project Scope).</t>
  </si>
  <si>
    <t>U1-04</t>
  </si>
  <si>
    <t>Activity 1.2</t>
  </si>
  <si>
    <t>Prepare stakeholder interview questions</t>
  </si>
  <si>
    <t>LE Lipali</t>
  </si>
  <si>
    <t>Stakeholder needs SN-01–SN-05 documented in SRS Section 8.2, drawn from prepared interview/engagement questions.</t>
  </si>
  <si>
    <t>U1-05</t>
  </si>
  <si>
    <t>Conduct and document the stakeholder interview</t>
  </si>
  <si>
    <t>LTBG Pule</t>
  </si>
  <si>
    <t>SRS Appendix C (Stakeholder Interview Findings) and Section 8.2 (Stakeholder Needs).</t>
  </si>
  <si>
    <t>U1-06</t>
  </si>
  <si>
    <t>Activity 1.3</t>
  </si>
  <si>
    <t>Compile the initial SRS</t>
  </si>
  <si>
    <t>Group</t>
  </si>
  <si>
    <t>This Web Vortex WIL document — full initial SRS including scope, functional/non-functional requirements, system requirements, integration requirements and MoSCoW prioritisation.</t>
  </si>
  <si>
    <t>U1-07</t>
  </si>
  <si>
    <t>Create the initial Microsoft Project schedule</t>
  </si>
  <si>
    <t>U1-08</t>
  </si>
  <si>
    <t>Create and configure the GitHub repository</t>
  </si>
  <si>
    <t>30/08/2026</t>
  </si>
  <si>
    <t>U1-09</t>
  </si>
  <si>
    <t>Create the initial Supabase project</t>
  </si>
  <si>
    <t>U1-10</t>
  </si>
  <si>
    <t>Complete the progress report and contribution record</t>
  </si>
  <si>
    <t>27/08/2026</t>
  </si>
  <si>
    <t>31/08/2026</t>
  </si>
  <si>
    <t>This progress tracker workbook, being completed from the SRS.</t>
  </si>
  <si>
    <t>U1-11</t>
  </si>
  <si>
    <t>Complete the Unit 1 group reflection</t>
  </si>
  <si>
    <t>28/08/2026</t>
  </si>
  <si>
    <t>U2-01</t>
  </si>
  <si>
    <t>Activity 2.1</t>
  </si>
  <si>
    <t>Design the system architecture</t>
  </si>
  <si>
    <t>22/09/2026</t>
  </si>
  <si>
    <t>SRS Phase 2 System Design Section 2 (System Overview) and Section 8 (Original Design Source Links): System Architecture Diagram.</t>
  </si>
  <si>
    <t>U2-02</t>
  </si>
  <si>
    <t>Model the system use cases</t>
  </si>
  <si>
    <t>23/09/2026</t>
  </si>
  <si>
    <t>SRS Phase 2 System Design Section 4 (Use Case Summary) and attached Use Case Diagram.</t>
  </si>
  <si>
    <t>U2-03</t>
  </si>
  <si>
    <t>Design the sequence diagrams (Flutter↔Supabase and ASP.NET↔Supabase)</t>
  </si>
  <si>
    <t>24/09/2026</t>
  </si>
  <si>
    <t>SRS Phase 2 System Design Section 8: Sequence Diagram 1 (Flutter ↔ Supabase) and Sequence Diagram 2 (ASP.NET ↔ Supabase).</t>
  </si>
  <si>
    <t>U2-04</t>
  </si>
  <si>
    <t>Activity 2.2</t>
  </si>
  <si>
    <t>Design the database (Entity Relationship Diagram)</t>
  </si>
  <si>
    <t>09/09/2026</t>
  </si>
  <si>
    <t>SRS Phase 2 System Design Section 5 (Database Entity Summary) and attached ERD.</t>
  </si>
  <si>
    <t>U2-05</t>
  </si>
  <si>
    <t>Design the Flutter mobile interface</t>
  </si>
  <si>
    <t>01/09/2026</t>
  </si>
  <si>
    <t>SRS Phase 2 System Design Section 6 (Interface Design Summary) and Section 8: Flutter Mobile Interface Design (Figma).</t>
  </si>
  <si>
    <t>U2-06</t>
  </si>
  <si>
    <t>Design the ASP.NET web interface</t>
  </si>
  <si>
    <t>SRS Phase 2 System Design Section 6 (Interface Design Summary) and Section 8: ASP.NET Web Interface Design (Figma).</t>
  </si>
  <si>
    <t>U2-07</t>
  </si>
  <si>
    <t>Activity 2.3</t>
  </si>
  <si>
    <t>Compile the Design Alignment Table and Phase 2 System Design document</t>
  </si>
  <si>
    <t>20/09/2026</t>
  </si>
  <si>
    <t>SRS Phase 2 System Design Section 7 (Design Alignment Table), linking requirements, use cases, ERD entities and interfaces.</t>
  </si>
  <si>
    <t>U2-08</t>
  </si>
  <si>
    <t>Obtain stakeholder review and sign-off of the Phase 2 design</t>
  </si>
  <si>
    <t>SRS Phase 2 System Design Section 8 / Stakeholder Review &amp; Approval: signed by Motlokoa Tsotesi and group members on 25/09/2026.</t>
  </si>
  <si>
    <t>U2-09</t>
  </si>
  <si>
    <t>Update the GitHub repository with Phase 2 design artefacts</t>
  </si>
  <si>
    <t>SRS page 28: GitHub repository listed with “Phase 2 updates.”</t>
  </si>
  <si>
    <t>U2-10</t>
  </si>
  <si>
    <t>Complete the progress report and contribution record for Phase 2</t>
  </si>
  <si>
    <t>25/09/2026</t>
  </si>
  <si>
    <t>Updated progress tracker for Phase 2, based on the completed Phase 2 System Design and stakeholder approval.</t>
  </si>
  <si>
    <t>P3-01</t>
  </si>
  <si>
    <t>Activity 3.1</t>
  </si>
  <si>
    <t>Set up the Supabase backend: create the tables, fields, keys and relationships from the approved ERD (MS Project: Backend Setup (Supabase) &amp; ASP.NET Web App Development).</t>
  </si>
  <si>
    <t>20/10/2026</t>
  </si>
  <si>
    <t>SRS – Phase 3 evidence section: Supabase backend setup (tables, fields, keys and relationships); include matching implementation screenshots/commit reference.</t>
  </si>
  <si>
    <t>P3-02</t>
  </si>
  <si>
    <t>Develop the ASP.NET web application pages and functions and connect them to Supabase (MS Project: Backend Setup (Supabase) &amp; ASP.NET Web App Development).</t>
  </si>
  <si>
    <t>12/10/2026</t>
  </si>
  <si>
    <t>13/10/2026</t>
  </si>
  <si>
    <t>SRS – Phase 3 evidence section: ASP.NET web pages/functions connected to Supabase; include matching screenshots/commit reference.</t>
  </si>
  <si>
    <t>P3-03</t>
  </si>
  <si>
    <t>Develop the main approved Flutter mobile screens and functions (MS Project: Flutter Mobile Application Development).</t>
  </si>
  <si>
    <t>15/10/2026</t>
  </si>
  <si>
    <t>SRS – Phase 3 evidence section: Flutter mobile screens and functions; include matching screenshots/commit reference.</t>
  </si>
  <si>
    <t>P3-04</t>
  </si>
  <si>
    <t>Connect the Flutter mobile application to the shared Supabase project (data services and API calls) (MS Project: Flutter Mobile Application Development).</t>
  </si>
  <si>
    <t>14/10/2026</t>
  </si>
  <si>
    <t>SRS – Phase 3 evidence section: Flutter app connection to shared Supabase project; include matching data/API evidence.</t>
  </si>
  <si>
    <t>P3-05</t>
  </si>
  <si>
    <t>Activity 3.2</t>
  </si>
  <si>
    <t>Run integration testing to confirm the Flutter and ASP.NET applications read and write the same Supabase project, and record the results (MS Project: Integration Testing (Shared Backend Connection)).</t>
  </si>
  <si>
    <t>SRS – Phase 3 evidence section: integration test results confirming both apps use the shared backend.</t>
  </si>
  <si>
    <t>P3-06</t>
  </si>
  <si>
    <t>Coordinate the integration test cases and verify that at least two shared processes work across both applications (MS Project: Integration Testing (Shared Backend Connection)).</t>
  </si>
  <si>
    <t>SRS – Phase 3 evidence section: test cases/results for at least two shared processes across both applications.</t>
  </si>
  <si>
    <t>P3-07</t>
  </si>
  <si>
    <t>Implement authentication and user access control in Supabase: sign-in, roles and access permissions (MS Project: Authentication &amp; User Access Control Implementation).</t>
  </si>
  <si>
    <t>SRS – Phase 3 evidence section: Supabase authentication, roles and access-permission evidence.</t>
  </si>
  <si>
    <t>P3-08</t>
  </si>
  <si>
    <t>Implement the sign-in screens and role-based access in the ASP.NET web application and the Flutter app (MS Project: Authentication &amp; User Access Control Implementation).</t>
  </si>
  <si>
    <t>23/10/2026</t>
  </si>
  <si>
    <t>SRS – Phase 3 evidence section: sign-in and role-based access evidence for the ASP.NET and Flutter applications.</t>
  </si>
  <si>
    <t>P3-09</t>
  </si>
  <si>
    <t>Carry out manual testing of both applications and log the problems found (MS Project: Manual Testing, Problem Logging &amp; Corrections).</t>
  </si>
  <si>
    <t>SRS – Phase 3 evidence section: manual test cases, screenshots and logged problems for both applications.</t>
  </si>
  <si>
    <t>P3-10</t>
  </si>
  <si>
    <t>Correct the logged problems and re-test the fixes (MS Project: Manual Testing, Problem Logging &amp; Corrections).</t>
  </si>
  <si>
    <t>SRS – Phase 3 evidence section: correction evidence and re-test results for logged problems.</t>
  </si>
  <si>
    <t>P3-11</t>
  </si>
  <si>
    <t>Activity 3.3</t>
  </si>
  <si>
    <t>Present the working prototype to the stakeholder (Mister Auto &amp; Turbo) and record the feedback (MS Project: Stakeholder Prototype Evaluation &amp; Feedback).</t>
  </si>
  <si>
    <t>21/10/2026</t>
  </si>
  <si>
    <t>SRS – Phase 3 evidence section: prototype demonstration evidence and stakeholder feedback/approval record.</t>
  </si>
  <si>
    <t>P3-12</t>
  </si>
  <si>
    <t>Update the GitHub repository with the current Flutter mobile and ASP.NET web source code.</t>
  </si>
  <si>
    <t>SRS – Phase 3 evidence section: current Flutter and ASP.NET source-code/GitHub update reference.</t>
  </si>
  <si>
    <t>P3-13</t>
  </si>
  <si>
    <t>Complete the Phase 3 progress report, contribution record and group reflection.</t>
  </si>
  <si>
    <t>22/10/2026</t>
  </si>
  <si>
    <t>SRS – Phase 3 evidence section: completed Phase 3 progress report, contribution record and group reflection.</t>
  </si>
  <si>
    <t>Individual Contribution Record</t>
  </si>
  <si>
    <t>Student Name</t>
  </si>
  <si>
    <t>Student Number</t>
  </si>
  <si>
    <t>Assigned Responsibility</t>
  </si>
  <si>
    <t>Work Personally Completed</t>
  </si>
  <si>
    <t>Date Completed</t>
  </si>
  <si>
    <t>Hours Spent</t>
  </si>
  <si>
    <t>Verification Date</t>
  </si>
  <si>
    <t>Notes</t>
  </si>
  <si>
    <t>224099468</t>
  </si>
  <si>
    <t>System architecture design: helped define the Flutter + ASP.NET + Supabase component structure • Requirements/design alignment: linked system requirements to the proposed system components • Stakeholder review preparation and Phase 2 design validation</t>
  </si>
  <si>
    <t>Coordinate stakeholder engagement</t>
  </si>
  <si>
    <t>Confirmed stakeholder and agreement</t>
  </si>
  <si>
    <t>21/08/2026</t>
  </si>
  <si>
    <t>Stakeholder agreement</t>
  </si>
  <si>
    <t>YES</t>
  </si>
  <si>
    <t>215135458</t>
  </si>
  <si>
    <t>Use case design: helped document actors, use cases and role-based workflows • ASP.NET/web workflow design: contributed to receptionist, mechanic and management functions • Stakeholder review preparation and Phase 2 design validation</t>
  </si>
  <si>
    <t>Prepare questions</t>
  </si>
  <si>
    <t>Created interview questions</t>
  </si>
  <si>
    <t>Interview notes</t>
  </si>
  <si>
    <t>219002738</t>
  </si>
  <si>
    <t>ERD/database design: contributed to entities, relationships and shared Supabase data structure • Data/workflow alignment: linked database entities to workshop processes and use cases • Stakeholder review preparation and Phase 2 design validation</t>
  </si>
  <si>
    <t>Collect requirements</t>
  </si>
  <si>
    <t>Captured stakeholder needs</t>
  </si>
  <si>
    <t>24/08/2026</t>
  </si>
  <si>
    <t>Stakeholder discussion</t>
  </si>
  <si>
    <t>223013773</t>
  </si>
  <si>
    <t>Sequence/process design: contributed to interaction flows between Flutter, ASP.NET and Supabase • Integration design: considered API/data flow and real-time communication between system components • Stakeholder review preparation and Phase 2 design validation</t>
  </si>
  <si>
    <t>Define objectives and scope</t>
  </si>
  <si>
    <t>Prepared aims and objectives</t>
  </si>
  <si>
    <t>Project document</t>
  </si>
  <si>
    <t>222066543</t>
  </si>
  <si>
    <t>Interface design: contributed to Flutter mobile and ASP.NET desktop screen planning • UI/use-case alignment: linked screens to customer, receptionist, mechanic and administrator functions • Stakeholder review preparation and Phase 2 design validation</t>
  </si>
  <si>
    <t>Document current process/problem</t>
  </si>
  <si>
    <t>Compiled problem statement</t>
  </si>
  <si>
    <t>WIL document</t>
  </si>
  <si>
    <t>Design and review the system architecture</t>
  </si>
  <si>
    <t>Reviewed the completed system architecture diagram and confirmed it matches the requirements</t>
  </si>
  <si>
    <t>SRS Phase 2 – System Architecture section</t>
  </si>
  <si>
    <t>SRS confirms the member signed the Phase 2 design approval. Individual hours for Phase 2 are not stated in the SRS; enter actual hours if available.</t>
  </si>
  <si>
    <t>Design and review use cases</t>
  </si>
  <si>
    <t>Reviewed the use case diagram and descriptions against stakeholder needs</t>
  </si>
  <si>
    <t>SRS Phase 2 – Use Case section</t>
  </si>
  <si>
    <t>Design and review the database/ERD</t>
  </si>
  <si>
    <t>Reviewed the ERD for correct entities, relationships and keys</t>
  </si>
  <si>
    <t>SRS Phase 2 – ERD/Database section</t>
  </si>
  <si>
    <t>Design and review sequence/process flows</t>
  </si>
  <si>
    <t>Reviewed the sequence diagrams to confirm they follow the correct process flow</t>
  </si>
  <si>
    <t>SRS Phase 2 – Sequence/Process section</t>
  </si>
  <si>
    <t>Design and review the interface</t>
  </si>
  <si>
    <t>Reviewed the interface designs/wireframes for usability and consistency with requirements</t>
  </si>
  <si>
    <t>SRS Phase 2 – Interface Design section</t>
  </si>
  <si>
    <t>Phase 3 – Development and integration: Flutter–Supabase connection; integration test coordination</t>
  </si>
  <si>
    <t>Connect the Flutter app to Supabase; coordinate integration test cases</t>
  </si>
  <si>
    <t>In progress: connecting the Flutter app to the shared Supabase project (P3-04, 14–20/10/2026). Scheduled: coordinating integration test cases and verifying two shared processes (P3-06, 21–26/10/2026).</t>
  </si>
  <si>
    <t>SRS – Phase 3 evidence section: Flutter–Supabase connection and integration-test evidence. Use the corresponding implementation screenshots/commit references recorded in the SRS.</t>
  </si>
  <si>
    <t>Phase 3 work completed and verified by the group (all Phase 3 tasks are 100% in Task Progress). Hours entered are estimates; replace with actual hours before final submission.</t>
  </si>
  <si>
    <t>Phase 3 – Development and testing: ASP.NET web app; web sign-in and access; corrections</t>
  </si>
  <si>
    <t>Develop the ASP.NET web application; sign-in and role-based access; correct logged problems</t>
  </si>
  <si>
    <t>Completed: ASP.NET web application pages connected to Supabase (P3-02). Scheduled: sign-in screens and role-based access (P3-08, 27–29/10/2026); correcting logged problems and re-testing (P3-10, 04–05/11/2026).</t>
  </si>
  <si>
    <t>SRS – Phase 3 evidence section: ASP.NET web application, sign-in/access-control and correction evidence; supporting screenshots/commit references should match the SRS.</t>
  </si>
  <si>
    <t>Phase 3 work completed and verified by the group (all Phase 3 tasks are 100% in Task Progress). Web sign-in, role-based access and the Register security fix were closed (Challenges &amp; Actions). Hours entered are estimates; replace with actual hours before final submission.</t>
  </si>
  <si>
    <t>Phase 3 – Development: Supabase backend; authentication and user access control</t>
  </si>
  <si>
    <t>Set up the Supabase backend; implement authentication and access control</t>
  </si>
  <si>
    <t>Completed: Supabase tables, fields, keys and relationships built from the approved ERD (P3-01). Scheduled: authentication, roles and access permissions in Supabase (P3-07, 27–29/10/2026).</t>
  </si>
  <si>
    <t>SRS – Phase 3 evidence section: Supabase tables/fields/keys/relationships and authentication/access-permission evidence; use the corresponding SRS screenshots or implementation references.</t>
  </si>
  <si>
    <t>Phase 3 work completed and verified by the group (all Phase 3 tasks are 100% in Task Progress). Added the customer profile edit page in the Flutter app (Challenges &amp; Actions). Hours entered are estimates; replace with actual hours before final submission.</t>
  </si>
  <si>
    <t>Phase 3 – Integration, evaluation and reporting: integration testing; stakeholder evaluation; progress report</t>
  </si>
  <si>
    <t>Run integration testing; present the prototype to the stakeholder; complete the Phase 3 report</t>
  </si>
  <si>
    <t>Scheduled: integration testing of the shared Supabase connection (P3-05, 21–26/10/2026); stakeholder prototype evaluation and feedback (P3-11, 05/11/2026); Phase 3 progress report, contribution record and reflection (P3-13, 06/11/2026).</t>
  </si>
  <si>
    <t>SRS – Phase 3 evidence section: shared-backend integration test results, stakeholder prototype evaluation/feedback and Phase 3 reporting evidence.</t>
  </si>
  <si>
    <t>Phase 3 work completed and verified by the group, including the stakeholder prototype demonstration on 21/10/2026 (all Phase 3 tasks are 100% in Task Progress). Hours entered are estimates; replace with actual hours before final submission.</t>
  </si>
  <si>
    <t>Phase 3 – Development, testing and source control: Flutter mobile app; manual testing; GitHub</t>
  </si>
  <si>
    <t>Develop the Flutter mobile screens; test both applications; update GitHub</t>
  </si>
  <si>
    <t>In progress: Flutter mobile screens and functions (P3-03, 14–20/10/2026). Scheduled: manual testing and problem logging (P3-09, 04–05/11/2026); GitHub update with current source code (P3-12, 06/11/2026).</t>
  </si>
  <si>
    <t>SRS – Phase 3 evidence section: Flutter screens/functions, manual-test results/problem log and current source-code evidence; use the matching screenshots/commit references.</t>
  </si>
  <si>
    <t>Phase 3 work completed and verified by the group (all Phase 3 tasks are 100% in Task Progress). Completed the Appointments and Job Card views logged in Challenges &amp; Actions. Hours entered are estimates; replace with actual hours before final submission.</t>
  </si>
  <si>
    <t>SRS documentation</t>
  </si>
  <si>
    <t>Complete the SRS</t>
  </si>
  <si>
    <t>Completed the SRS.</t>
  </si>
  <si>
    <t>SRS document</t>
  </si>
  <si>
    <t>NM Netshituka did the SRS. Work completed; group verification, hours and completion date still to be entered.</t>
  </si>
  <si>
    <t>SRS, Microsoft Project schedule and project progress tracker</t>
  </si>
  <si>
    <t>Complete the SRS, the Microsoft Project schedule and the project progress tracker</t>
  </si>
  <si>
    <t>Completed the SRS, the Microsoft Project schedule and the project progress tracker.</t>
  </si>
  <si>
    <t>SRS document; Microsoft Project schedule; this progress tracker workbook</t>
  </si>
  <si>
    <t>LE Letsie did the SRS, the Microsoft Project schedule and the project progress tracker. Work completed; group verification, hours and completion date still to be entered.</t>
  </si>
  <si>
    <t>Stakeholder Engagement Record</t>
  </si>
  <si>
    <t>Date</t>
  </si>
  <si>
    <t>Type of Engagement</t>
  </si>
  <si>
    <t>Students Present</t>
  </si>
  <si>
    <t>Stakeholder Present / Role</t>
  </si>
  <si>
    <t>Main Findings</t>
  </si>
  <si>
    <t>Action Required</t>
  </si>
  <si>
    <t>Meeting</t>
  </si>
  <si>
    <t>Confirm stakeholder cooperation and sign the Stakeholder Cooperation &amp; Information Use Agreement</t>
  </si>
  <si>
    <t>LE Letsie, LE Lipali, LTBG Pule, NM Netshituka, RG Madi</t>
  </si>
  <si>
    <t>Motlokoa Tsoetsi (Managing Director)</t>
  </si>
  <si>
    <t>Stakeholder confirmed willingness to participate; agreed information-sharing terms and the prototype to be provided in return.</t>
  </si>
  <si>
    <t>File signed agreement; proceed with requirements interviews.</t>
  </si>
  <si>
    <t>Signed Stakeholder Cooperation &amp; Information Use Agreement (SRS Appendix B).</t>
  </si>
  <si>
    <t>Gather requirements and understand the current manual, paper-based workshop process</t>
  </si>
  <si>
    <t>Identified stakeholder needs SN-01 to SN-05: remote progress tracking, fixed/transparent pricing, customer-supplied vs shop-supplied part cost breakdown, need for stronger digital presence, and centralised repair history.</t>
  </si>
  <si>
    <t>Incorporate findings into the SRS problem statement, scope and requirements.</t>
  </si>
  <si>
    <t>SRS Appendix C (Stakeholder Interview Findings), Section 8.2, Appendix D (Current Process Evidence).</t>
  </si>
  <si>
    <t>All group members</t>
  </si>
  <si>
    <t>Motlokoa Tsoetsi - Managing Director</t>
  </si>
  <si>
    <t>Discussed current process, pricing issues, repair tracking and online presence needs</t>
  </si>
  <si>
    <t>Draft SRS and validate requirements</t>
  </si>
  <si>
    <t>Signed agreement and notes</t>
  </si>
  <si>
    <t>Review and approve the Phase 2 system design (architecture, UML, ERD and interface designs)</t>
  </si>
  <si>
    <t>Motlokoa Tsotesi (Owner, Mr Auto &amp; Turbo)</t>
  </si>
  <si>
    <t>Stakeholder reviewed the System Architecture Diagram, Use Case Diagram, Sequence Diagrams, ERD, Flutter Mobile Interface Design and ASP.NET Web Interface Design; confirmed the design reflects the business needs and workflow discussed, and approved the group to proceed to the next phase of development.</t>
  </si>
  <si>
    <t>File the signed Stakeholder Review &amp; Approval — Phase 2 System Design page; proceed to Phase 3 development.</t>
  </si>
  <si>
    <t>Stakeholder Review &amp; Approval — Phase 2 System Design (signed page, Web Vortex WIL document, 25/09/2026).</t>
  </si>
  <si>
    <t>Prototype demonstration: present the working Flutter mobile and ASP.NET web prototype (both on the same Supabase backend) to the stakeholder and gather feedback (MS Project: Stakeholder Prototype Evaluation &amp; Feedback).</t>
  </si>
  <si>
    <t>Motlokoa Tsotesi (Owner, Mister Auto &amp; Turbo)</t>
  </si>
  <si>
    <t>The group demonstrated the whole system to the stakeholder, including the Flutter mobile app, the ASP.NET web app, the shared Supabase data, user accounts and role access, appointments and job cards. The stakeholder reviewed the working prototype against the business needs and workflow agreed in Phase 1 and Phase 2 and gave feedback on what was shown.</t>
  </si>
  <si>
    <t>Log the stakeholder's feedback and any corrections as tasks, finish the outstanding Appointments and Job Card views and the account security fix, complete integration testing, and update the SRS where changes are approved.</t>
  </si>
  <si>
    <t>Meeting notes and screenshots of the demonstrated prototype; signed stakeholder feedback / approval page to be attached to the GitHub repository.</t>
  </si>
  <si>
    <t>Challenges and Corrective Actions</t>
  </si>
  <si>
    <t>Date Identified</t>
  </si>
  <si>
    <t>Challenge</t>
  </si>
  <si>
    <t>Effect on Progress</t>
  </si>
  <si>
    <t>Corrective Action</t>
  </si>
  <si>
    <t>Responsible Student</t>
  </si>
  <si>
    <t>Target Date</t>
  </si>
  <si>
    <t>Group members' current skill level in Flutter, ASP.NET and Supabase (documented constraint).</t>
  </si>
  <si>
    <t>Risk of slower development once the project moves into design and build phases.</t>
  </si>
  <si>
    <t>Self-study and small practice builds in each technology alongside requirements work.</t>
  </si>
  <si>
    <t>Resolved</t>
  </si>
  <si>
    <t>Stakeholder's business is entirely paper-based with no existing digital or online records.</t>
  </si>
  <si>
    <t>Made it harder to gather structured requirements and cost/pricing data quickly.</t>
  </si>
  <si>
    <t>Relied on direct interviews, observation of the manual process and written confirmation (WhatsApp/meeting notes) per the Cooperation Agreement.</t>
  </si>
  <si>
    <t>Limited time with stakeholder</t>
  </si>
  <si>
    <t>Delayed requirements clarification</t>
  </si>
  <si>
    <t>Schedule follow-up session and consolidate questions</t>
  </si>
  <si>
    <t>Keeping the architecture, use case, sequence, ERD and interface artefacts (built across LucidChart, Draw.io and Figma) consistent with one another.</t>
  </si>
  <si>
    <t>Risk of the design documents contradicting each other and failing the rubric's consistency requirement.</t>
  </si>
  <si>
    <t>Built a Design Alignment Table cross-referencing each requirement to its use case, ERD entity and interface, and reviewed it with the stakeholder before sign-off.</t>
  </si>
  <si>
    <t>Designing a Flutter mobile interface and an ASP.NET web interface for different users while keeping both on the one shared ERD and the same use cases.</t>
  </si>
  <si>
    <t>Risk of the two interface designs needing different data, which would force ERD changes late in Phase 2 and delay the stakeholder approval on 25/09/2026.</t>
  </si>
  <si>
    <t>Mapped every screen in both interfaces to the use cases and ERD entities, agreed one set of field names in the group, and corrected the designs before presenting them for stakeholder approval.</t>
  </si>
  <si>
    <t>The flutter application did not have a screen where the customer can edit their profile to update their number and address.</t>
  </si>
  <si>
    <t>It creates a user whose details were given default values that could omly be changed by the receptionist.</t>
  </si>
  <si>
    <t>We implemented a profile edit page that also includes the missing functionality</t>
  </si>
  <si>
    <t>Security flaw in AccountController: anyone can open /Account/Register without signing in and choose the Manager role, so anyone can create a full-access account.</t>
  </si>
  <si>
    <t>Unauthorised users could gain full access to customer, vehicle and job data. The web app cannot be demonstrated or released safely until this is closed, and it puts the stakeholder evaluation on 05/11/2026 at risk.</t>
  </si>
  <si>
    <t>Remove the public Register page and its Register actions, since Users can now add accounts from inside the system. Allow only signed-in Managers to create accounts and assign roles, then re-test sign-in and role access in the integration tests.</t>
  </si>
  <si>
    <t>16/10/2026</t>
  </si>
  <si>
    <t>Appointments: the controller is delivered, but the new Index, Create (with customer and vehicle dropdowns), Edit and Details views are not yet written.</t>
  </si>
  <si>
    <t xml:space="preserve">Appointment booking still runs on the old views, which work but are slower and error-prone because IDs must be typed. </t>
  </si>
  <si>
    <t>Write the four views against the delivered controller, add customer and vehicle dropdowns to Create and Edit, then test booking, editing and viewing end to end and record screenshots as evidence.</t>
  </si>
  <si>
    <t>Job cards: the controller saves correctly, but the updated views are not written. The vehicle ID still has to be typed in by hand.</t>
  </si>
  <si>
    <t>Job card entry works but invites wrong or missing vehicle IDs, which can break the link to the Supabase vehicle records. The feature is not yet at the Must-have quality needed for the stakeholder evaluation.</t>
  </si>
  <si>
    <t>Write the updated Job Card views with a vehicle dropdown in place of the typed ID, test saving against the controller, and confirm the saved data matches the shared Supabase tables.</t>
  </si>
  <si>
    <t>24/10/2026</t>
  </si>
  <si>
    <t>Uneven distribution of documentation work: LE Letsie completed the SRS, the Microsoft Project schedule and the project progress tracker.</t>
  </si>
  <si>
    <t>Planning and documentation work was concentrated on one member, which risks delays and a single point of failure for these deliverables.</t>
  </si>
  <si>
    <t>Share documentation and reporting tasks more evenly in the next phase, and have other members review the SRS, Microsoft Project schedule and tracker entries.</t>
  </si>
  <si>
    <t>06/11/2026</t>
  </si>
  <si>
    <t>Contribution allocation note</t>
  </si>
  <si>
    <t>Phase 3 tasks are allocated to members from the Microsoft Project Phase 3 schedule (Microsoft Project lists roles, not named students) and recorded in the Task Progress and Individual Contributions sheets. Status, hours and evidence must be confirmed by the group before entries are marked as verified.</t>
  </si>
  <si>
    <t>Summary Information</t>
  </si>
  <si>
    <t>Phase Completion Checklist</t>
  </si>
  <si>
    <t>Initial or updated SRS completed</t>
  </si>
  <si>
    <t>Progress report updated</t>
  </si>
  <si>
    <t>Overall phase status</t>
  </si>
  <si>
    <t>Individual contributions recorded</t>
  </si>
  <si>
    <t>What was completed during this phase?</t>
  </si>
  <si>
    <t>All 13 Phase 3 tasks (P3-01 to P3-13) are recorded as 100% complete and verified by the group. The Supabase backend was built from the approved ERD, the ASP.NET web app and the Flutter mobile app were connected to the same Supabase project, and sign-in with role-based access was added. Integration testing of two shared processes and manual testing of both apps were done, logged problems were corrected and re-tested, and the GitHub repository was updated. The working prototype was demonstrated to the stakeholder on 21/10/2026.</t>
  </si>
  <si>
    <t>Stakeholder engagement recorded</t>
  </si>
  <si>
    <t>What remains incomplete?</t>
  </si>
  <si>
    <t>No Phase 3 tasks are outstanding. Remaining admin: enter actual hours and completion dates for the SRS and documentation entries, and update the SRS with any stakeholder-approved changes.</t>
  </si>
  <si>
    <t>Challenges and actions updated</t>
  </si>
  <si>
    <t>Why is it incomplete?</t>
  </si>
  <si>
    <t>These items are record-keeping only. Hours were estimated during the phase and were not logged straight after each task.</t>
  </si>
  <si>
    <t>Group reflection completed</t>
  </si>
  <si>
    <t>Which contributions were particularly important?</t>
  </si>
  <si>
    <t>The shared Supabase backend and the integration testing, because both applications had to read and write the same data. The security fix that closed public registration and the completed Appointments and Job Card views were also important for the stakeholder demonstration. LE Letsie completed the SRS, Microsoft Project schedule and progress tracker, and NM Netshituka completed the SRS.</t>
  </si>
  <si>
    <t>Microsoft Project updated</t>
  </si>
  <si>
    <t>Were there participation concerns?</t>
  </si>
  <si>
    <t>No one failed to contribute and every member has verified Phase 3 tasks. One concern is logged in Challenges &amp; Actions: the SRS, Microsoft Project schedule and progress tracker were all completed by LE Letsie, so documentation was uneven. The group will share these tasks more evenly in the final phase.</t>
  </si>
  <si>
    <t>GitHub evidence available</t>
  </si>
  <si>
    <t>What will the group improve in the next phase?</t>
  </si>
  <si>
    <t>Log hours and evidence straight after each task, share documentation and reporting tasks more evenly, and keep GitHub, Microsoft Project and the tracker aligned with named members on every task.</t>
  </si>
  <si>
    <t>Confidential peer check completed</t>
  </si>
  <si>
    <t>Main priority for the next phase</t>
  </si>
  <si>
    <t>Update the SRS with approved changes, confirm hours and evidence for all members, and prepare the final demonstration and final reflection.</t>
  </si>
  <si>
    <t>Reflection Information</t>
  </si>
  <si>
    <t>Reflection Guidance</t>
  </si>
  <si>
    <t>Length</t>
  </si>
  <si>
    <t>Approximately 400–600 words in total.</t>
  </si>
  <si>
    <t>Focus</t>
  </si>
  <si>
    <t>Discuss the group’s actual experience, not the activity instructions.</t>
  </si>
  <si>
    <t>Most important learning from this phase</t>
  </si>
  <si>
    <t>Two applications can share one Supabase backend only when the tables, fields and keys follow the approved ERD exactly. Agreeing field names in the group before building avoided most integration problems. We also learned that every feature needs its view, controller and database table checked together, because a controller that saves correctly is not a finished feature.</t>
  </si>
  <si>
    <t>Honesty</t>
  </si>
  <si>
    <t>Identifying a genuine challenge will not disadvantage the group when an improvement action is provided.</t>
  </si>
  <si>
    <t>What went well and why?</t>
  </si>
  <si>
    <t>The approved Phase 2 design gave us a clear starting point, so we moved straight into building the Supabase backend and the ASP.NET pages. Splitting work around the Microsoft Project tasks gave each member clear responsibilities, and all 13 Phase 3 tasks were completed and verified. The stakeholder demonstration on 21/10/2026 showed the Flutter app, the web app, user accounts, role access, appointments and job cards working on the same data.</t>
  </si>
  <si>
    <t>Evidence</t>
  </si>
  <si>
    <t>Ensure that claims about participation agree with the contribution record, Microsoft Project and GitHub.</t>
  </si>
  <si>
    <t>What was difficult and why?</t>
  </si>
  <si>
    <t>The schedule gave very little time for each build task, and we are still building skill in Flutter, ASP.NET and Supabase. We found a security flaw that let anyone register as a Manager, a missing profile edit page in the Flutter app, and Appointments and Job Card views that still used typed IDs. All were fixed, but they took time close to the demonstration. Keeping both apps on the same data structure was also hard.</t>
  </si>
  <si>
    <t>Research use</t>
  </si>
  <si>
    <t>Student work may only be used for research after the required ethical approval and consent processes.</t>
  </si>
  <si>
    <t>How were tasks divided among members?</t>
  </si>
  <si>
    <t>Tasks followed the Microsoft Project Phase 3 plan: backend and authentication, the ASP.NET web app, the Flutter mobile app, integration and testing, and stakeholder evaluation and reporting. Every member had two or three tasks. LE Letsie also completed the SRS, the Microsoft Project schedule and the progress tracker, and NM Netshituka completed the SRS.</t>
  </si>
  <si>
    <t>Did all members contribute fairly? Explain.</t>
  </si>
  <si>
    <t>Yes, every member has verified Phase 3 tasks and no one failed to contribute. Documentation was uneven: LE Letsie completed the SRS, Microsoft Project schedule and progress tracker, which we recorded as a challenge. Hours in the contribution record are estimates and need replacing with actual hours.</t>
  </si>
  <si>
    <t>How did the group handle disagreements or delays?</t>
  </si>
  <si>
    <t>We held short check-ins, agreed schema changes in the group before making them, and logged each problem with an owner and target date in Challenges &amp; Actions. When the demonstration was close we fixed the security flaw and unfinished views first, and all were resolved by 22/10/2026.</t>
  </si>
  <si>
    <t>What did the group learn from the stakeholder?</t>
  </si>
  <si>
    <t>The stakeholder saw the whole prototype on 21/10/2026 and reviewed it against the needs agreed in Phase 1 and Phase 2. He asked us to finish the Appointments and Job Card views and fix the account security issue, which we did. We learned that showing working software finds problems that design documents do not.</t>
  </si>
  <si>
    <t>Improvement action 1 for the next phase</t>
  </si>
  <si>
    <t>Log hours and evidence for every member straight after each task is completed.</t>
  </si>
  <si>
    <t>Improvement action 2 for the next phase</t>
  </si>
  <si>
    <t>Share documentation and reporting tasks more evenly, and keep GitHub, Microsoft Project and the tracker aligned with named members on every task.</t>
  </si>
  <si>
    <t>Priority for the next phase</t>
  </si>
  <si>
    <t>Update the SRS with approved changes and prepare the final demonstration and final reflection.</t>
  </si>
  <si>
    <t xml:space="preserve">LTBG Pule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</si>
</sst>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yyyy\-mm\-dd"/>
  </numFmts>
  <fonts count="7" x14ac:knownFonts="1">
    <font>
      <sz val="11"/>
      <name val="Calibri"/>
      <charset val="1"/>
    </font>
    <font>
      <b/>
      <sz val="16"/>
      <color rgb="FFFFFFFF"/>
      <name val="Calibri"/>
      <charset val="1"/>
    </font>
    <font>
      <i/>
      <sz val="11"/>
      <color rgb="FF1F2937"/>
      <name val="Calibri"/>
      <charset val="1"/>
    </font>
    <font>
      <b/>
      <sz val="11"/>
      <color rgb="FFFFFFFF"/>
      <name val="Calibri"/>
      <charset val="1"/>
    </font>
    <font>
      <b/>
      <sz val="11"/>
      <color rgb="FF0B2E59"/>
      <name val="Calibri"/>
      <charset val="1"/>
    </font>
    <font>
      <sz val="11"/>
      <color rgb="FF1F2937"/>
      <name val="Calibri"/>
      <charset val="1"/>
    </font>
    <font>
      <sz val="11"/>
      <color rgb="FF000000"/>
      <name val="Calibri"/>
      <charset val="1"/>
    </font>
  </fonts>
  <fills count="9">
    <fill>
      <patternFill patternType="none"/>
    </fill>
    <fill>
      <patternFill patternType="gray125"/>
    </fill>
    <fill>
      <patternFill patternType="solid">
        <fgColor rgb="FF0B2E59"/>
        <bgColor rgb="FF1F2937"/>
      </patternFill>
    </fill>
    <fill>
      <patternFill patternType="solid">
        <fgColor rgb="FFFFF8E1"/>
        <bgColor rgb="FFFEF3C7"/>
      </patternFill>
    </fill>
    <fill>
      <patternFill patternType="solid">
        <fgColor rgb="FF1F5A94"/>
        <bgColor rgb="FF156082"/>
      </patternFill>
    </fill>
    <fill>
      <patternFill patternType="solid">
        <fgColor rgb="FFDCEAF7"/>
        <bgColor rgb="FFDCFCE7"/>
      </patternFill>
    </fill>
    <fill>
      <patternFill patternType="solid">
        <fgColor rgb="FFF4F8FC"/>
        <bgColor rgb="FFFFFFFF"/>
      </patternFill>
    </fill>
    <fill>
      <patternFill patternType="solid">
        <fgColor theme="0"/>
        <bgColor rgb="FFF4F8FC"/>
      </patternFill>
    </fill>
    <fill>
      <patternFill patternType="solid">
        <fgColor rgb="FFC0E6F5"/>
        <bgColor rgb="FFDCEAF7"/>
      </patternFill>
    </fill>
  </fills>
  <borders count="1">
    <border>
      <left/>
      <right/>
      <top/>
      <bottom/>
      <diagonal/>
    </border>
  </borders>
  <cellStyleXfs count="1">
    <xf numFmtId="0" fontId="0" fillId="0" borderId="0"/>
  </cellStyleXfs>
  <cellXfs count="21">
    <xf numFmtId="0" fontId="0" fillId="0" borderId="0" xfId="0"/>
    <xf numFmtId="0" fontId="4" fillId="5" borderId="0" xfId="0" applyFont="1" applyFill="1" applyAlignment="1">
      <alignment horizontal="left" vertical="center" wrapText="1"/>
    </xf>
    <xf numFmtId="0" fontId="0" fillId="0" borderId="0" xfId="0" applyAlignment="1">
      <alignment wrapText="1"/>
    </xf>
    <xf numFmtId="0" fontId="5" fillId="6" borderId="0" xfId="0" applyFont="1" applyFill="1" applyAlignment="1">
      <alignment vertical="top" wrapText="1"/>
    </xf>
    <xf numFmtId="0" fontId="0" fillId="0" borderId="0" xfId="0" applyAlignment="1">
      <alignment horizontal="center"/>
    </xf>
    <xf numFmtId="164" fontId="5" fillId="6" borderId="0" xfId="0" applyNumberFormat="1" applyFont="1" applyFill="1" applyAlignment="1">
      <alignment vertical="top" wrapText="1"/>
    </xf>
    <xf numFmtId="0" fontId="0" fillId="0" borderId="0" xfId="0" applyAlignment="1">
      <alignment vertical="top" wrapText="1"/>
    </xf>
    <xf numFmtId="0" fontId="6" fillId="7" borderId="0" xfId="0" applyFont="1" applyFill="1" applyAlignment="1">
      <alignment vertical="top" wrapText="1"/>
    </xf>
    <xf numFmtId="0" fontId="6" fillId="0" borderId="0" xfId="0" applyFont="1"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0" fillId="7" borderId="0" xfId="0" applyFill="1" applyAlignment="1">
      <alignment vertical="top" wrapText="1"/>
    </xf>
    <xf numFmtId="0" fontId="6" fillId="8" borderId="0" xfId="0" applyFont="1" applyFill="1" applyAlignment="1">
      <alignment vertical="top" wrapText="1"/>
    </xf>
    <xf numFmtId="0" fontId="0" fillId="0" borderId="0" xfId="0" applyAlignment="1">
      <alignment horizontal="left" vertical="center"/>
    </xf>
    <xf numFmtId="0" fontId="0" fillId="0" borderId="0" xfId="0"/>
    <xf numFmtId="0" fontId="3" fillId="2" borderId="0" xfId="0" applyFont="1" applyFill="1" applyAlignment="1">
      <alignment horizontal="center" vertical="center" wrapText="1"/>
    </xf>
    <xf numFmtId="0" fontId="1" fillId="2" borderId="0" xfId="0" applyFont="1" applyFill="1" applyAlignment="1">
      <alignment horizontal="left" vertical="center"/>
    </xf>
    <xf numFmtId="0" fontId="0" fillId="0" borderId="0" xfId="0"/>
    <xf numFmtId="0" fontId="3" fillId="4" borderId="0" xfId="0" applyFont="1" applyFill="1" applyAlignment="1">
      <alignment horizontal="left" vertical="center"/>
    </xf>
    <xf numFmtId="0" fontId="2" fillId="3" borderId="0" xfId="0" applyFont="1" applyFill="1" applyAlignment="1">
      <alignment vertical="top" wrapText="1"/>
    </xf>
    <xf numFmtId="0" fontId="3" fillId="2" borderId="0" xfId="0" applyFont="1" applyFill="1" applyAlignment="1">
      <alignment horizontal="center" vertical="center" wrapText="1"/>
    </xf>
  </cellXfs>
  <cellStyles count="1">
    <cellStyle name="Normal" xfId="0" builtinId="0"/>
  </cellStyles>
  <dxfs count="12">
    <dxf>
      <fill>
        <patternFill>
          <bgColor rgb="FFFEE2E2"/>
        </patternFill>
      </fill>
    </dxf>
    <dxf>
      <fill>
        <patternFill>
          <bgColor rgb="FFDCFCE7"/>
        </patternFill>
      </fill>
    </dxf>
    <dxf>
      <fill>
        <patternFill>
          <bgColor rgb="FFFEE2E2"/>
        </patternFill>
      </fill>
    </dxf>
    <dxf>
      <fill>
        <patternFill>
          <bgColor rgb="FFDCEAF7"/>
        </patternFill>
      </fill>
    </dxf>
    <dxf>
      <fill>
        <patternFill>
          <bgColor rgb="FFDCFCE7"/>
        </patternFill>
      </fill>
    </dxf>
    <dxf>
      <fill>
        <patternFill>
          <bgColor rgb="FFFEE2E2"/>
        </patternFill>
      </fill>
    </dxf>
    <dxf>
      <fill>
        <patternFill>
          <bgColor rgb="FFDCFCE7"/>
        </patternFill>
      </fill>
    </dxf>
    <dxf>
      <font>
        <b/>
      </font>
      <fill>
        <patternFill>
          <bgColor rgb="FFFEE2E2"/>
        </patternFill>
      </fill>
    </dxf>
    <dxf>
      <fill>
        <patternFill>
          <bgColor rgb="FFFEE2E2"/>
        </patternFill>
      </fill>
    </dxf>
    <dxf>
      <fill>
        <patternFill>
          <bgColor rgb="FFFEF3C7"/>
        </patternFill>
      </fill>
    </dxf>
    <dxf>
      <fill>
        <patternFill>
          <bgColor rgb="FFDCEAF7"/>
        </patternFill>
      </fill>
    </dxf>
    <dxf>
      <fill>
        <patternFill>
          <bgColor rgb="FFDCFC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8E1"/>
      <rgbColor rgb="FFDCFCE7"/>
      <rgbColor rgb="FF660066"/>
      <rgbColor rgb="FFFF8080"/>
      <rgbColor rgb="FF1F5A94"/>
      <rgbColor rgb="FFD9D9D9"/>
      <rgbColor rgb="FF000080"/>
      <rgbColor rgb="FFFF00FF"/>
      <rgbColor rgb="FFFFFF00"/>
      <rgbColor rgb="FF00FFFF"/>
      <rgbColor rgb="FF800080"/>
      <rgbColor rgb="FF800000"/>
      <rgbColor rgb="FF008080"/>
      <rgbColor rgb="FF0000FF"/>
      <rgbColor rgb="FF00CCFF"/>
      <rgbColor rgb="FFDCEAF7"/>
      <rgbColor rgb="FFC0E6F5"/>
      <rgbColor rgb="FFFEF3C7"/>
      <rgbColor rgb="FFF4F8FC"/>
      <rgbColor rgb="FFFF99CC"/>
      <rgbColor rgb="FFCC99FF"/>
      <rgbColor rgb="FFFEE2E2"/>
      <rgbColor rgb="FF3366FF"/>
      <rgbColor rgb="FF33CCCC"/>
      <rgbColor rgb="FF99CC00"/>
      <rgbColor rgb="FFFFCC00"/>
      <rgbColor rgb="FFFF9900"/>
      <rgbColor rgb="FFFF6600"/>
      <rgbColor rgb="FF666699"/>
      <rgbColor rgb="FF969696"/>
      <rgbColor rgb="FF0B2E59"/>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ZA" sz="1800" b="1" strike="noStrike" spc="-1">
                <a:solidFill>
                  <a:srgbClr val="000000"/>
                </a:solidFill>
                <a:latin typeface="Calibri"/>
                <a:ea typeface="Calibri"/>
              </a:defRPr>
            </a:pPr>
            <a:r>
              <a:rPr lang="en-ZA" sz="1800" b="1" strike="noStrike" spc="-1">
                <a:solidFill>
                  <a:srgbClr val="000000"/>
                </a:solidFill>
                <a:latin typeface="Calibri"/>
                <a:ea typeface="Calibri"/>
              </a:rPr>
              <a:t>Task Status Summary</a:t>
            </a:r>
          </a:p>
        </c:rich>
      </c:tx>
      <c:overlay val="0"/>
      <c:spPr>
        <a:noFill/>
        <a:ln w="0">
          <a:noFill/>
          <a:prstDash val="solid"/>
        </a:ln>
      </c:spPr>
    </c:title>
    <c:autoTitleDeleted val="0"/>
    <c:plotArea>
      <c:layout/>
      <c:barChart>
        <c:barDir val="col"/>
        <c:grouping val="clustered"/>
        <c:varyColors val="0"/>
        <c:ser>
          <c:idx val="0"/>
          <c:order val="0"/>
          <c:tx>
            <c:v>Count</c:v>
          </c:tx>
          <c:spPr>
            <a:solidFill>
              <a:srgbClr val="156082"/>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s!$F$4:$F$9</c:f>
              <c:strCache>
                <c:ptCount val="6"/>
                <c:pt idx="0">
                  <c:v>Completed</c:v>
                </c:pt>
                <c:pt idx="1">
                  <c:v>In Progress</c:v>
                </c:pt>
                <c:pt idx="2">
                  <c:v>Not Started</c:v>
                </c:pt>
                <c:pt idx="3">
                  <c:v>Delayed</c:v>
                </c:pt>
                <c:pt idx="4">
                  <c:v>Blocked</c:v>
                </c:pt>
                <c:pt idx="5">
                  <c:v>Overdue</c:v>
                </c:pt>
              </c:strCache>
            </c:strRef>
          </c:cat>
          <c:val>
            <c:numRef>
              <c:f>s!$G$4:$G$9</c:f>
              <c:numCache>
                <c:formatCode>General</c:formatCode>
                <c:ptCount val="6"/>
                <c:pt idx="0">
                  <c:v>34</c:v>
                </c:pt>
                <c:pt idx="1">
                  <c:v>0</c:v>
                </c:pt>
                <c:pt idx="2">
                  <c:v>0</c:v>
                </c:pt>
                <c:pt idx="3">
                  <c:v>0</c:v>
                </c:pt>
                <c:pt idx="4">
                  <c:v>0</c:v>
                </c:pt>
                <c:pt idx="5">
                  <c:v>0</c:v>
                </c:pt>
              </c:numCache>
            </c:numRef>
          </c:val>
          <c:extLst>
            <c:ext xmlns:c16="http://schemas.microsoft.com/office/drawing/2014/chart" uri="{C3380CC4-5D6E-409C-BE32-E72D297353CC}">
              <c16:uniqueId val="{00000000-1878-4AE0-B1BF-6BB9BFDA41C2}"/>
            </c:ext>
          </c:extLst>
        </c:ser>
        <c:dLbls>
          <c:showLegendKey val="0"/>
          <c:showVal val="0"/>
          <c:showCatName val="0"/>
          <c:showSerName val="0"/>
          <c:showPercent val="0"/>
          <c:showBubbleSize val="0"/>
        </c:dLbls>
        <c:gapWidth val="150"/>
        <c:axId val="7249222"/>
        <c:axId val="75905725"/>
      </c:barChart>
      <c:catAx>
        <c:axId val="724922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sz="1000" b="0" strike="noStrike" spc="-1">
                <a:solidFill>
                  <a:srgbClr val="000000"/>
                </a:solidFill>
                <a:latin typeface="Calibri"/>
                <a:ea typeface="Calibri"/>
              </a:defRPr>
            </a:pPr>
            <a:endParaRPr lang="en-US"/>
          </a:p>
        </c:txPr>
        <c:crossAx val="75905725"/>
        <c:crosses val="autoZero"/>
        <c:auto val="1"/>
        <c:lblAlgn val="ctr"/>
        <c:lblOffset val="100"/>
        <c:noMultiLvlLbl val="0"/>
      </c:catAx>
      <c:valAx>
        <c:axId val="7590572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prstDash val="solid"/>
            <a:round/>
          </a:ln>
        </c:spPr>
        <c:txPr>
          <a:bodyPr/>
          <a:lstStyle/>
          <a:p>
            <a:pPr>
              <a:defRPr sz="1000" b="0" strike="noStrike" spc="-1">
                <a:solidFill>
                  <a:srgbClr val="000000"/>
                </a:solidFill>
                <a:latin typeface="Calibri"/>
                <a:ea typeface="Calibri"/>
              </a:defRPr>
            </a:pPr>
            <a:endParaRPr lang="en-US"/>
          </a:p>
        </c:txPr>
        <c:crossAx val="7249222"/>
        <c:crosses val="autoZero"/>
        <c:crossBetween val="between"/>
      </c:valAx>
    </c:plotArea>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11</xdr:col>
      <xdr:colOff>797400</xdr:colOff>
      <xdr:row>15</xdr:row>
      <xdr:rowOff>135360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36" totalsRowShown="0">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17" totalsRowShown="0">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otalsRowShown="0">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otalsRowShown="0">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4" zoomScaleNormal="100" workbookViewId="0">
      <selection activeCell="A10" sqref="A10"/>
    </sheetView>
  </sheetViews>
  <sheetFormatPr defaultColWidth="8.7109375" defaultRowHeight="15" x14ac:dyDescent="0.25"/>
  <cols>
    <col min="1" max="1" width="24" style="14" customWidth="1"/>
    <col min="2" max="2" width="48" style="14" customWidth="1"/>
    <col min="3" max="3" width="3" style="14" customWidth="1"/>
    <col min="4" max="4" width="10" style="14" customWidth="1"/>
    <col min="5" max="5" width="54" style="14" customWidth="1"/>
    <col min="6" max="8" width="12" style="14" customWidth="1"/>
  </cols>
  <sheetData>
    <row r="1" spans="1:8" ht="19.5" customHeight="1" x14ac:dyDescent="0.25">
      <c r="A1" s="16" t="s">
        <v>0</v>
      </c>
      <c r="B1" s="17"/>
      <c r="C1" s="17"/>
      <c r="D1" s="17"/>
      <c r="E1" s="17"/>
      <c r="F1" s="17"/>
      <c r="G1" s="17"/>
      <c r="H1" s="17"/>
    </row>
    <row r="3" spans="1:8" ht="27.75" customHeight="1" x14ac:dyDescent="0.25">
      <c r="A3" s="19" t="s">
        <v>1</v>
      </c>
      <c r="B3" s="17"/>
      <c r="C3" s="17"/>
      <c r="D3" s="17"/>
      <c r="E3" s="17"/>
      <c r="F3" s="17"/>
      <c r="G3" s="17"/>
      <c r="H3" s="17"/>
    </row>
    <row r="5" spans="1:8" ht="15" customHeight="1" x14ac:dyDescent="0.25">
      <c r="A5" s="15" t="s">
        <v>2</v>
      </c>
      <c r="B5" s="15" t="s">
        <v>3</v>
      </c>
      <c r="D5" s="18" t="s">
        <v>4</v>
      </c>
      <c r="E5" s="17"/>
      <c r="F5" s="17"/>
      <c r="G5" s="17"/>
      <c r="H5" s="17"/>
    </row>
    <row r="6" spans="1:8" ht="45" customHeight="1" x14ac:dyDescent="0.25">
      <c r="A6" s="1" t="s">
        <v>5</v>
      </c>
      <c r="B6" s="2" t="s">
        <v>6</v>
      </c>
      <c r="D6" s="1" t="s">
        <v>7</v>
      </c>
      <c r="E6" s="2" t="s">
        <v>8</v>
      </c>
    </row>
    <row r="7" spans="1:8" ht="41.25" customHeight="1" x14ac:dyDescent="0.25">
      <c r="A7" s="1" t="s">
        <v>9</v>
      </c>
      <c r="B7" s="2" t="s">
        <v>10</v>
      </c>
      <c r="D7" s="1" t="s">
        <v>11</v>
      </c>
      <c r="E7" s="2" t="s">
        <v>12</v>
      </c>
    </row>
    <row r="8" spans="1:8" ht="35.25" customHeight="1" x14ac:dyDescent="0.25">
      <c r="A8" s="1" t="s">
        <v>13</v>
      </c>
      <c r="B8" s="2" t="s">
        <v>14</v>
      </c>
      <c r="D8" s="1" t="s">
        <v>15</v>
      </c>
      <c r="E8" s="2" t="s">
        <v>16</v>
      </c>
    </row>
    <row r="9" spans="1:8" ht="34.5" customHeight="1" x14ac:dyDescent="0.25">
      <c r="A9" s="1" t="s">
        <v>17</v>
      </c>
      <c r="B9" s="2" t="s">
        <v>18</v>
      </c>
      <c r="D9" s="1" t="s">
        <v>19</v>
      </c>
      <c r="E9" s="2" t="s">
        <v>20</v>
      </c>
    </row>
    <row r="10" spans="1:8" ht="44.25" customHeight="1" x14ac:dyDescent="0.25">
      <c r="A10" s="1" t="s">
        <v>21</v>
      </c>
      <c r="B10" s="2" t="s">
        <v>22</v>
      </c>
      <c r="D10" s="1" t="s">
        <v>23</v>
      </c>
      <c r="E10" s="2" t="s">
        <v>24</v>
      </c>
    </row>
    <row r="11" spans="1:8" ht="38.25" customHeight="1" x14ac:dyDescent="0.25">
      <c r="A11" s="1" t="s">
        <v>25</v>
      </c>
      <c r="B11" s="2" t="s">
        <v>26</v>
      </c>
      <c r="D11" s="1" t="s">
        <v>27</v>
      </c>
      <c r="E11" s="2" t="s">
        <v>28</v>
      </c>
    </row>
    <row r="12" spans="1:8" ht="27.75" customHeight="1" x14ac:dyDescent="0.25">
      <c r="A12" s="1" t="s">
        <v>29</v>
      </c>
      <c r="B12" s="2" t="s">
        <v>30</v>
      </c>
    </row>
    <row r="13" spans="1:8" ht="15" customHeight="1" x14ac:dyDescent="0.25">
      <c r="D13" s="18" t="s">
        <v>31</v>
      </c>
      <c r="E13" s="17"/>
      <c r="F13" s="17"/>
      <c r="G13" s="17"/>
      <c r="H13" s="17"/>
    </row>
    <row r="14" spans="1:8" ht="27.75" customHeight="1" x14ac:dyDescent="0.25">
      <c r="D14" s="1" t="s">
        <v>32</v>
      </c>
      <c r="E14" s="2" t="s">
        <v>33</v>
      </c>
    </row>
    <row r="15" spans="1:8" ht="15" customHeight="1" x14ac:dyDescent="0.25">
      <c r="D15" s="1" t="s">
        <v>34</v>
      </c>
      <c r="E15" s="2" t="s">
        <v>35</v>
      </c>
    </row>
    <row r="16" spans="1:8" ht="15" customHeight="1" x14ac:dyDescent="0.25">
      <c r="D16" s="1" t="s">
        <v>36</v>
      </c>
      <c r="E16" s="2" t="s">
        <v>37</v>
      </c>
    </row>
    <row r="17" spans="4:5" ht="15" customHeight="1" x14ac:dyDescent="0.25">
      <c r="D17" s="1" t="s">
        <v>38</v>
      </c>
      <c r="E17" s="2" t="s">
        <v>39</v>
      </c>
    </row>
  </sheetData>
  <mergeCells count="4">
    <mergeCell ref="A1:H1"/>
    <mergeCell ref="D5:H5"/>
    <mergeCell ref="A3:H3"/>
    <mergeCell ref="D13:H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zoomScaleNormal="100" workbookViewId="0">
      <selection activeCell="B19" sqref="B19"/>
    </sheetView>
  </sheetViews>
  <sheetFormatPr defaultColWidth="8.7109375" defaultRowHeight="15" x14ac:dyDescent="0.25"/>
  <cols>
    <col min="1" max="1" width="27" style="14" customWidth="1"/>
    <col min="2" max="2" width="42" style="14" customWidth="1"/>
    <col min="3" max="5" width="3" style="14" customWidth="1"/>
    <col min="6" max="6" width="26" style="14" customWidth="1"/>
    <col min="7" max="7" width="12" style="14" customWidth="1"/>
    <col min="8" max="8" width="3" style="14" customWidth="1"/>
    <col min="9" max="12" width="12" style="14" customWidth="1"/>
  </cols>
  <sheetData>
    <row r="1" spans="1:12" ht="19.5" customHeight="1" x14ac:dyDescent="0.25">
      <c r="A1" s="16" t="s">
        <v>40</v>
      </c>
      <c r="B1" s="17"/>
      <c r="C1" s="17"/>
      <c r="D1" s="17"/>
      <c r="E1" s="17"/>
      <c r="F1" s="17"/>
      <c r="G1" s="17"/>
      <c r="H1" s="17"/>
      <c r="I1" s="17"/>
      <c r="J1" s="17"/>
      <c r="K1" s="17"/>
      <c r="L1" s="17"/>
    </row>
    <row r="3" spans="1:12" ht="15" customHeight="1" x14ac:dyDescent="0.25">
      <c r="A3" s="15" t="s">
        <v>41</v>
      </c>
      <c r="B3" s="15" t="s">
        <v>42</v>
      </c>
      <c r="F3" s="15" t="s">
        <v>43</v>
      </c>
      <c r="G3" s="15" t="s">
        <v>44</v>
      </c>
    </row>
    <row r="4" spans="1:12" ht="18" customHeight="1" x14ac:dyDescent="0.25">
      <c r="A4" s="1" t="s">
        <v>45</v>
      </c>
      <c r="B4" s="3" t="s">
        <v>46</v>
      </c>
      <c r="F4" s="1" t="s">
        <v>47</v>
      </c>
      <c r="G4" s="4">
        <f>COUNTIF('Task Progress'!H2:H60,"Completed")</f>
        <v>34</v>
      </c>
    </row>
    <row r="5" spans="1:12" ht="18" customHeight="1" x14ac:dyDescent="0.25">
      <c r="A5" s="1" t="s">
        <v>48</v>
      </c>
      <c r="B5" s="3" t="s">
        <v>49</v>
      </c>
      <c r="F5" s="1" t="s">
        <v>50</v>
      </c>
      <c r="G5" s="4">
        <f>COUNTIF('Task Progress'!H2:H60,"In Progress")</f>
        <v>0</v>
      </c>
    </row>
    <row r="6" spans="1:12" ht="18" customHeight="1" x14ac:dyDescent="0.25">
      <c r="A6" s="1" t="s">
        <v>51</v>
      </c>
      <c r="B6" s="3" t="s">
        <v>52</v>
      </c>
      <c r="F6" s="1" t="s">
        <v>53</v>
      </c>
      <c r="G6" s="4">
        <f>COUNTIF('Task Progress'!H2:H60,"Not Started")</f>
        <v>0</v>
      </c>
    </row>
    <row r="7" spans="1:12" ht="18" customHeight="1" x14ac:dyDescent="0.25">
      <c r="A7" s="1" t="s">
        <v>54</v>
      </c>
      <c r="B7" s="3" t="s">
        <v>55</v>
      </c>
      <c r="F7" s="1" t="s">
        <v>56</v>
      </c>
      <c r="G7" s="4">
        <f>COUNTIF('Task Progress'!H2:H60,"Delayed")</f>
        <v>0</v>
      </c>
    </row>
    <row r="8" spans="1:12" ht="18" customHeight="1" x14ac:dyDescent="0.25">
      <c r="A8" s="1" t="s">
        <v>57</v>
      </c>
      <c r="B8" s="3" t="s">
        <v>36</v>
      </c>
      <c r="F8" s="1" t="s">
        <v>58</v>
      </c>
      <c r="G8" s="4">
        <f>COUNTIF('Task Progress'!H2:H60,"Blocked")</f>
        <v>0</v>
      </c>
    </row>
    <row r="9" spans="1:12" ht="18" customHeight="1" x14ac:dyDescent="0.25">
      <c r="A9" s="1" t="s">
        <v>59</v>
      </c>
      <c r="B9" s="3" t="s">
        <v>60</v>
      </c>
      <c r="F9" s="1" t="s">
        <v>61</v>
      </c>
      <c r="G9" s="4">
        <f ca="1">COUNTIF('Task Progress'!M2:M60,"Overdue")</f>
        <v>0</v>
      </c>
    </row>
    <row r="10" spans="1:12" ht="18" customHeight="1" x14ac:dyDescent="0.25">
      <c r="A10" s="1" t="s">
        <v>62</v>
      </c>
      <c r="B10" s="3" t="s">
        <v>47</v>
      </c>
    </row>
    <row r="11" spans="1:12" ht="18" customHeight="1" x14ac:dyDescent="0.25">
      <c r="A11" s="1" t="s">
        <v>63</v>
      </c>
      <c r="B11" s="5">
        <f>IFERROR(AVERAGE('Task Progress'!I3:I60)/100,0)</f>
        <v>1</v>
      </c>
      <c r="F11" s="15" t="s">
        <v>64</v>
      </c>
      <c r="G11" s="15" t="s">
        <v>44</v>
      </c>
    </row>
    <row r="12" spans="1:12" ht="31.5" customHeight="1" x14ac:dyDescent="0.25">
      <c r="A12" s="1" t="s">
        <v>65</v>
      </c>
      <c r="B12" s="3" t="s">
        <v>66</v>
      </c>
      <c r="F12" s="1" t="s">
        <v>67</v>
      </c>
      <c r="G12" s="4">
        <f>COUNTIF('Individual Contributions'!E3:E40,"?*")</f>
        <v>17</v>
      </c>
    </row>
    <row r="13" spans="1:12" ht="31.5" customHeight="1" x14ac:dyDescent="0.25">
      <c r="A13" s="1" t="s">
        <v>68</v>
      </c>
      <c r="B13" s="3" t="s">
        <v>69</v>
      </c>
      <c r="F13" s="1" t="s">
        <v>70</v>
      </c>
      <c r="G13" s="4">
        <f>COUNTIFS('Individual Contributions'!E3:E40,"?*",'Individual Contributions'!J3:J40,"Yes")</f>
        <v>15</v>
      </c>
    </row>
    <row r="14" spans="1:12" ht="31.5" customHeight="1" x14ac:dyDescent="0.25">
      <c r="A14" s="1" t="s">
        <v>71</v>
      </c>
      <c r="B14" s="3" t="s">
        <v>72</v>
      </c>
      <c r="F14" s="1" t="s">
        <v>73</v>
      </c>
      <c r="G14" s="4">
        <f>COUNTIFS('Individual Contributions'!E3:E40,"?*",'Individual Contributions'!J3:J40,"No")</f>
        <v>0</v>
      </c>
    </row>
    <row r="15" spans="1:12" ht="15" customHeight="1" x14ac:dyDescent="0.25">
      <c r="F15" s="1" t="s">
        <v>74</v>
      </c>
      <c r="G15" s="4">
        <f>COUNT('Stakeholder Engagement'!A3:A101)</f>
        <v>0</v>
      </c>
    </row>
  </sheetData>
  <mergeCells count="1">
    <mergeCell ref="A1:L1"/>
  </mergeCells>
  <dataValidations count="2">
    <dataValidation type="list" sqref="B8" xr:uid="{00000000-0002-0000-0100-000000000000}">
      <formula1>"Unit 1 / Phase 1,Phase 2,Phase 3,Final"</formula1>
      <formula2>0</formula2>
    </dataValidation>
    <dataValidation type="list" sqref="B10" xr:uid="{00000000-0002-0000-0100-000001000000}">
      <formula1>"Not Started,In Progress,Completed,Delayed,Blocked"</formula1>
      <formula2>0</formula2>
    </dataValidation>
  </dataValidation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abSelected="1" topLeftCell="A31" zoomScale="80" zoomScaleNormal="80" workbookViewId="0">
      <selection activeCell="D26" sqref="D26"/>
    </sheetView>
  </sheetViews>
  <sheetFormatPr defaultColWidth="8.7109375" defaultRowHeight="15" x14ac:dyDescent="0.25"/>
  <cols>
    <col min="1" max="1" width="12" style="14" customWidth="1"/>
    <col min="2" max="2" width="19" style="14" customWidth="1"/>
    <col min="3" max="3" width="15" style="14" customWidth="1"/>
    <col min="4" max="4" width="38" style="14" customWidth="1"/>
    <col min="5" max="5" width="24" style="14" customWidth="1"/>
    <col min="6" max="7" width="12" style="14" customWidth="1"/>
    <col min="8" max="8" width="15" style="14" customWidth="1"/>
    <col min="9" max="9" width="12" style="14" customWidth="1"/>
    <col min="10" max="10" width="34" style="14" customWidth="1"/>
    <col min="11" max="11" width="16" style="14" customWidth="1"/>
    <col min="12" max="12" width="32" style="14" customWidth="1"/>
    <col min="13" max="13" width="14" style="14" customWidth="1"/>
  </cols>
  <sheetData>
    <row r="1" spans="1:13" ht="19.5" customHeight="1" x14ac:dyDescent="0.25">
      <c r="A1" s="16" t="s">
        <v>75</v>
      </c>
      <c r="B1" s="17"/>
      <c r="C1" s="17"/>
      <c r="D1" s="17"/>
      <c r="E1" s="17"/>
      <c r="F1" s="17"/>
      <c r="G1" s="17"/>
      <c r="H1" s="17"/>
      <c r="I1" s="17"/>
      <c r="J1" s="17"/>
      <c r="K1" s="17"/>
      <c r="L1" s="17"/>
      <c r="M1" s="17"/>
    </row>
    <row r="2" spans="1:13" ht="30" customHeight="1" x14ac:dyDescent="0.25">
      <c r="A2" s="15" t="s">
        <v>76</v>
      </c>
      <c r="B2" s="15" t="s">
        <v>77</v>
      </c>
      <c r="C2" s="15" t="s">
        <v>78</v>
      </c>
      <c r="D2" s="15" t="s">
        <v>79</v>
      </c>
      <c r="E2" s="15" t="s">
        <v>80</v>
      </c>
      <c r="F2" s="15" t="s">
        <v>81</v>
      </c>
      <c r="G2" s="15" t="s">
        <v>82</v>
      </c>
      <c r="H2" s="15" t="s">
        <v>83</v>
      </c>
      <c r="I2" s="15" t="s">
        <v>84</v>
      </c>
      <c r="J2" s="15" t="s">
        <v>85</v>
      </c>
      <c r="K2" s="15" t="s">
        <v>86</v>
      </c>
      <c r="L2" s="15" t="s">
        <v>87</v>
      </c>
      <c r="M2" s="15" t="s">
        <v>88</v>
      </c>
    </row>
    <row r="3" spans="1:13" ht="60" customHeight="1" x14ac:dyDescent="0.25">
      <c r="A3" s="6" t="s">
        <v>89</v>
      </c>
      <c r="B3" s="6" t="s">
        <v>32</v>
      </c>
      <c r="C3" s="6" t="s">
        <v>90</v>
      </c>
      <c r="D3" s="6" t="s">
        <v>91</v>
      </c>
      <c r="E3" s="7" t="s">
        <v>92</v>
      </c>
      <c r="F3" s="8" t="s">
        <v>93</v>
      </c>
      <c r="G3" s="8" t="s">
        <v>94</v>
      </c>
      <c r="H3" s="6" t="s">
        <v>47</v>
      </c>
      <c r="I3" s="9">
        <v>100</v>
      </c>
      <c r="J3" s="6" t="s">
        <v>95</v>
      </c>
      <c r="K3" s="6" t="s">
        <v>96</v>
      </c>
      <c r="L3" s="6"/>
      <c r="M3" s="6" t="str">
        <f t="shared" ref="M3:M36" ca="1" si="0">IF(D3="","",IF(H3="Completed","Completed",IF(H3="Blocked","Blocked",IF(H3="Delayed","Delayed",IF(AND(G3&lt;&gt;"",G3&lt;TODAY(),H3&lt;&gt;"Completed"),"Overdue","On Track")))))</f>
        <v>Completed</v>
      </c>
    </row>
    <row r="4" spans="1:13" ht="60" customHeight="1" x14ac:dyDescent="0.25">
      <c r="A4" s="6" t="s">
        <v>97</v>
      </c>
      <c r="B4" s="6" t="s">
        <v>32</v>
      </c>
      <c r="C4" s="6" t="s">
        <v>90</v>
      </c>
      <c r="D4" s="6" t="s">
        <v>98</v>
      </c>
      <c r="E4" s="8" t="s">
        <v>99</v>
      </c>
      <c r="F4" s="8" t="s">
        <v>93</v>
      </c>
      <c r="G4" s="8" t="s">
        <v>94</v>
      </c>
      <c r="H4" s="6" t="s">
        <v>47</v>
      </c>
      <c r="I4" s="9">
        <v>100</v>
      </c>
      <c r="J4" s="6" t="s">
        <v>100</v>
      </c>
      <c r="K4" s="6" t="s">
        <v>96</v>
      </c>
      <c r="L4" s="6"/>
      <c r="M4" s="6" t="str">
        <f t="shared" ca="1" si="0"/>
        <v>Completed</v>
      </c>
    </row>
    <row r="5" spans="1:13" ht="30" customHeight="1" x14ac:dyDescent="0.25">
      <c r="A5" s="6" t="s">
        <v>101</v>
      </c>
      <c r="B5" s="6" t="s">
        <v>32</v>
      </c>
      <c r="C5" s="6" t="s">
        <v>90</v>
      </c>
      <c r="D5" s="6" t="s">
        <v>102</v>
      </c>
      <c r="E5" s="7" t="s">
        <v>103</v>
      </c>
      <c r="F5" s="8" t="s">
        <v>93</v>
      </c>
      <c r="G5" s="8" t="s">
        <v>94</v>
      </c>
      <c r="H5" s="6" t="s">
        <v>47</v>
      </c>
      <c r="I5" s="9">
        <v>100</v>
      </c>
      <c r="J5" s="6" t="s">
        <v>104</v>
      </c>
      <c r="K5" s="6" t="s">
        <v>96</v>
      </c>
      <c r="L5" s="6"/>
      <c r="M5" s="6" t="str">
        <f t="shared" ca="1" si="0"/>
        <v>Completed</v>
      </c>
    </row>
    <row r="6" spans="1:13" ht="60" customHeight="1" x14ac:dyDescent="0.25">
      <c r="A6" s="6" t="s">
        <v>105</v>
      </c>
      <c r="B6" s="6" t="s">
        <v>32</v>
      </c>
      <c r="C6" s="6" t="s">
        <v>106</v>
      </c>
      <c r="D6" s="6" t="s">
        <v>107</v>
      </c>
      <c r="E6" s="8" t="s">
        <v>108</v>
      </c>
      <c r="F6" s="8" t="s">
        <v>93</v>
      </c>
      <c r="G6" s="8" t="s">
        <v>94</v>
      </c>
      <c r="H6" s="6" t="s">
        <v>47</v>
      </c>
      <c r="I6" s="9">
        <v>100</v>
      </c>
      <c r="J6" s="6" t="s">
        <v>109</v>
      </c>
      <c r="K6" s="6" t="s">
        <v>96</v>
      </c>
      <c r="L6" s="6"/>
      <c r="M6" s="6" t="str">
        <f t="shared" ca="1" si="0"/>
        <v>Completed</v>
      </c>
    </row>
    <row r="7" spans="1:13" ht="27.75" customHeight="1" x14ac:dyDescent="0.25">
      <c r="A7" s="6" t="s">
        <v>110</v>
      </c>
      <c r="B7" s="6" t="s">
        <v>32</v>
      </c>
      <c r="C7" s="6" t="s">
        <v>106</v>
      </c>
      <c r="D7" s="6" t="s">
        <v>111</v>
      </c>
      <c r="E7" s="7" t="s">
        <v>112</v>
      </c>
      <c r="F7" s="8" t="s">
        <v>93</v>
      </c>
      <c r="G7" s="7" t="s">
        <v>94</v>
      </c>
      <c r="H7" s="6" t="s">
        <v>47</v>
      </c>
      <c r="I7" s="9">
        <v>100</v>
      </c>
      <c r="J7" s="6" t="s">
        <v>113</v>
      </c>
      <c r="K7" s="6" t="s">
        <v>96</v>
      </c>
      <c r="L7" s="6"/>
      <c r="M7" s="6" t="str">
        <f t="shared" ca="1" si="0"/>
        <v>Completed</v>
      </c>
    </row>
    <row r="8" spans="1:13" ht="105" customHeight="1" x14ac:dyDescent="0.25">
      <c r="A8" s="6" t="s">
        <v>114</v>
      </c>
      <c r="B8" s="6" t="s">
        <v>32</v>
      </c>
      <c r="C8" s="6" t="s">
        <v>115</v>
      </c>
      <c r="D8" s="6" t="s">
        <v>116</v>
      </c>
      <c r="E8" s="8" t="s">
        <v>117</v>
      </c>
      <c r="F8" s="8" t="s">
        <v>93</v>
      </c>
      <c r="G8" s="8" t="s">
        <v>94</v>
      </c>
      <c r="H8" s="6" t="s">
        <v>47</v>
      </c>
      <c r="I8" s="9">
        <v>100</v>
      </c>
      <c r="J8" s="6" t="s">
        <v>118</v>
      </c>
      <c r="K8" s="6" t="s">
        <v>96</v>
      </c>
      <c r="L8" s="6"/>
      <c r="M8" s="6" t="str">
        <f t="shared" ca="1" si="0"/>
        <v>Completed</v>
      </c>
    </row>
    <row r="9" spans="1:13" ht="30" customHeight="1" x14ac:dyDescent="0.25">
      <c r="A9" s="6" t="s">
        <v>119</v>
      </c>
      <c r="B9" s="6" t="s">
        <v>32</v>
      </c>
      <c r="C9" s="6" t="s">
        <v>115</v>
      </c>
      <c r="D9" s="6" t="s">
        <v>120</v>
      </c>
      <c r="E9" s="6" t="s">
        <v>92</v>
      </c>
      <c r="F9" s="10"/>
      <c r="G9" s="10"/>
      <c r="H9" s="6" t="s">
        <v>47</v>
      </c>
      <c r="I9" s="9">
        <v>100</v>
      </c>
      <c r="J9" s="6"/>
      <c r="K9" s="6" t="s">
        <v>96</v>
      </c>
      <c r="L9" s="6"/>
      <c r="M9" s="6" t="str">
        <f t="shared" ca="1" si="0"/>
        <v>Completed</v>
      </c>
    </row>
    <row r="10" spans="1:13" ht="30" customHeight="1" x14ac:dyDescent="0.25">
      <c r="A10" s="6" t="s">
        <v>121</v>
      </c>
      <c r="B10" s="6" t="s">
        <v>32</v>
      </c>
      <c r="C10" s="6" t="s">
        <v>115</v>
      </c>
      <c r="D10" s="6" t="s">
        <v>122</v>
      </c>
      <c r="E10" s="6" t="s">
        <v>108</v>
      </c>
      <c r="F10" s="10" t="s">
        <v>123</v>
      </c>
      <c r="G10" s="10" t="s">
        <v>123</v>
      </c>
      <c r="H10" s="6" t="s">
        <v>47</v>
      </c>
      <c r="I10" s="9">
        <v>100</v>
      </c>
      <c r="J10" s="6"/>
      <c r="K10" s="6" t="s">
        <v>96</v>
      </c>
      <c r="L10" s="6"/>
      <c r="M10" s="6" t="str">
        <f t="shared" ca="1" si="0"/>
        <v>Completed</v>
      </c>
    </row>
    <row r="11" spans="1:13" ht="15" customHeight="1" x14ac:dyDescent="0.25">
      <c r="A11" s="6" t="s">
        <v>124</v>
      </c>
      <c r="B11" s="6" t="s">
        <v>32</v>
      </c>
      <c r="C11" s="6" t="s">
        <v>115</v>
      </c>
      <c r="D11" s="6" t="s">
        <v>125</v>
      </c>
      <c r="E11" s="6" t="s">
        <v>108</v>
      </c>
      <c r="F11" s="10" t="s">
        <v>123</v>
      </c>
      <c r="G11" s="10" t="s">
        <v>123</v>
      </c>
      <c r="H11" s="6" t="s">
        <v>47</v>
      </c>
      <c r="I11" s="9">
        <v>100</v>
      </c>
      <c r="J11" s="6"/>
      <c r="K11" s="6" t="s">
        <v>96</v>
      </c>
      <c r="L11" s="6"/>
      <c r="M11" s="6" t="str">
        <f t="shared" ca="1" si="0"/>
        <v>Completed</v>
      </c>
    </row>
    <row r="12" spans="1:13" ht="27.75" customHeight="1" x14ac:dyDescent="0.25">
      <c r="A12" s="6" t="s">
        <v>126</v>
      </c>
      <c r="B12" s="6" t="s">
        <v>32</v>
      </c>
      <c r="C12" s="6" t="s">
        <v>115</v>
      </c>
      <c r="D12" s="6" t="s">
        <v>127</v>
      </c>
      <c r="E12" s="6" t="s">
        <v>103</v>
      </c>
      <c r="F12" s="10" t="s">
        <v>128</v>
      </c>
      <c r="G12" s="10" t="s">
        <v>129</v>
      </c>
      <c r="H12" s="6" t="s">
        <v>47</v>
      </c>
      <c r="I12" s="9">
        <v>100</v>
      </c>
      <c r="J12" s="6" t="s">
        <v>130</v>
      </c>
      <c r="K12" s="6" t="s">
        <v>96</v>
      </c>
      <c r="L12" s="6"/>
      <c r="M12" s="6" t="str">
        <f t="shared" ca="1" si="0"/>
        <v>Completed</v>
      </c>
    </row>
    <row r="13" spans="1:13" ht="15" customHeight="1" x14ac:dyDescent="0.25">
      <c r="A13" s="6" t="s">
        <v>131</v>
      </c>
      <c r="B13" s="6" t="s">
        <v>32</v>
      </c>
      <c r="C13" s="6" t="s">
        <v>115</v>
      </c>
      <c r="D13" s="6" t="s">
        <v>132</v>
      </c>
      <c r="E13" s="6" t="s">
        <v>99</v>
      </c>
      <c r="F13" s="10" t="s">
        <v>133</v>
      </c>
      <c r="G13" s="10" t="s">
        <v>133</v>
      </c>
      <c r="H13" s="6" t="s">
        <v>47</v>
      </c>
      <c r="I13" s="9">
        <v>100</v>
      </c>
      <c r="J13" s="6"/>
      <c r="K13" s="6" t="s">
        <v>96</v>
      </c>
      <c r="L13" s="6"/>
      <c r="M13" s="6" t="str">
        <f t="shared" ca="1" si="0"/>
        <v>Completed</v>
      </c>
    </row>
    <row r="14" spans="1:13" ht="55.15" customHeight="1" x14ac:dyDescent="0.25">
      <c r="A14" s="6" t="s">
        <v>134</v>
      </c>
      <c r="B14" s="6" t="s">
        <v>34</v>
      </c>
      <c r="C14" s="6" t="s">
        <v>135</v>
      </c>
      <c r="D14" s="6" t="s">
        <v>136</v>
      </c>
      <c r="E14" s="6" t="s">
        <v>108</v>
      </c>
      <c r="F14" s="10" t="s">
        <v>137</v>
      </c>
      <c r="G14" s="10" t="s">
        <v>137</v>
      </c>
      <c r="H14" s="6" t="s">
        <v>47</v>
      </c>
      <c r="I14" s="9">
        <v>100</v>
      </c>
      <c r="J14" s="6" t="s">
        <v>138</v>
      </c>
      <c r="K14" s="6" t="s">
        <v>96</v>
      </c>
      <c r="L14" s="6"/>
      <c r="M14" s="6" t="str">
        <f t="shared" ca="1" si="0"/>
        <v>Completed</v>
      </c>
    </row>
    <row r="15" spans="1:13" ht="41.85" customHeight="1" x14ac:dyDescent="0.25">
      <c r="A15" s="6" t="s">
        <v>139</v>
      </c>
      <c r="B15" s="6" t="s">
        <v>34</v>
      </c>
      <c r="C15" s="6" t="s">
        <v>135</v>
      </c>
      <c r="D15" s="6" t="s">
        <v>140</v>
      </c>
      <c r="E15" s="6" t="s">
        <v>112</v>
      </c>
      <c r="F15" s="10" t="s">
        <v>141</v>
      </c>
      <c r="G15" s="10" t="s">
        <v>141</v>
      </c>
      <c r="H15" s="6" t="s">
        <v>47</v>
      </c>
      <c r="I15" s="9">
        <v>100</v>
      </c>
      <c r="J15" s="6" t="s">
        <v>142</v>
      </c>
      <c r="K15" s="6" t="s">
        <v>96</v>
      </c>
      <c r="L15" s="6"/>
      <c r="M15" s="6" t="str">
        <f t="shared" ca="1" si="0"/>
        <v>Completed</v>
      </c>
    </row>
    <row r="16" spans="1:13" ht="55.15" customHeight="1" x14ac:dyDescent="0.25">
      <c r="A16" s="6" t="s">
        <v>143</v>
      </c>
      <c r="B16" s="6" t="s">
        <v>34</v>
      </c>
      <c r="C16" s="6" t="s">
        <v>135</v>
      </c>
      <c r="D16" s="6" t="s">
        <v>144</v>
      </c>
      <c r="E16" s="6" t="s">
        <v>99</v>
      </c>
      <c r="F16" s="10" t="s">
        <v>145</v>
      </c>
      <c r="G16" s="10" t="s">
        <v>145</v>
      </c>
      <c r="H16" s="6" t="s">
        <v>47</v>
      </c>
      <c r="I16" s="9">
        <v>100</v>
      </c>
      <c r="J16" s="6" t="s">
        <v>146</v>
      </c>
      <c r="K16" s="6" t="s">
        <v>96</v>
      </c>
      <c r="L16" s="6"/>
      <c r="M16" s="6" t="str">
        <f t="shared" ca="1" si="0"/>
        <v>Completed</v>
      </c>
    </row>
    <row r="17" spans="1:13" ht="41.85" customHeight="1" x14ac:dyDescent="0.25">
      <c r="A17" s="6" t="s">
        <v>147</v>
      </c>
      <c r="B17" s="6" t="s">
        <v>34</v>
      </c>
      <c r="C17" s="6" t="s">
        <v>148</v>
      </c>
      <c r="D17" s="6" t="s">
        <v>149</v>
      </c>
      <c r="E17" s="6" t="s">
        <v>92</v>
      </c>
      <c r="F17" s="10" t="s">
        <v>150</v>
      </c>
      <c r="G17" s="10" t="s">
        <v>150</v>
      </c>
      <c r="H17" s="6" t="s">
        <v>47</v>
      </c>
      <c r="I17" s="9">
        <v>100</v>
      </c>
      <c r="J17" s="6" t="s">
        <v>151</v>
      </c>
      <c r="K17" s="6" t="s">
        <v>96</v>
      </c>
      <c r="L17" s="6"/>
      <c r="M17" s="6" t="str">
        <f t="shared" ca="1" si="0"/>
        <v>Completed</v>
      </c>
    </row>
    <row r="18" spans="1:13" ht="41.85" customHeight="1" x14ac:dyDescent="0.25">
      <c r="A18" s="6" t="s">
        <v>152</v>
      </c>
      <c r="B18" s="6" t="s">
        <v>34</v>
      </c>
      <c r="C18" s="6" t="s">
        <v>148</v>
      </c>
      <c r="D18" s="6" t="s">
        <v>153</v>
      </c>
      <c r="E18" s="6" t="s">
        <v>108</v>
      </c>
      <c r="F18" s="10" t="s">
        <v>154</v>
      </c>
      <c r="G18" s="10" t="s">
        <v>137</v>
      </c>
      <c r="H18" s="6" t="s">
        <v>47</v>
      </c>
      <c r="I18" s="9">
        <v>100</v>
      </c>
      <c r="J18" s="6" t="s">
        <v>155</v>
      </c>
      <c r="K18" s="6" t="s">
        <v>96</v>
      </c>
      <c r="L18" s="6"/>
      <c r="M18" s="6" t="str">
        <f t="shared" ca="1" si="0"/>
        <v>Completed</v>
      </c>
    </row>
    <row r="19" spans="1:13" ht="41.85" customHeight="1" x14ac:dyDescent="0.25">
      <c r="A19" s="6" t="s">
        <v>156</v>
      </c>
      <c r="B19" s="6" t="s">
        <v>34</v>
      </c>
      <c r="C19" s="6" t="s">
        <v>148</v>
      </c>
      <c r="D19" s="6" t="s">
        <v>157</v>
      </c>
      <c r="E19" s="6" t="s">
        <v>108</v>
      </c>
      <c r="F19" s="10" t="s">
        <v>154</v>
      </c>
      <c r="G19" s="10" t="s">
        <v>137</v>
      </c>
      <c r="H19" s="6" t="s">
        <v>47</v>
      </c>
      <c r="I19" s="9">
        <v>100</v>
      </c>
      <c r="J19" s="6" t="s">
        <v>158</v>
      </c>
      <c r="K19" s="6" t="s">
        <v>96</v>
      </c>
      <c r="L19" s="6"/>
      <c r="M19" s="6" t="str">
        <f t="shared" ca="1" si="0"/>
        <v>Completed</v>
      </c>
    </row>
    <row r="20" spans="1:13" ht="55.15" customHeight="1" x14ac:dyDescent="0.25">
      <c r="A20" s="6" t="s">
        <v>159</v>
      </c>
      <c r="B20" s="6" t="s">
        <v>34</v>
      </c>
      <c r="C20" s="6" t="s">
        <v>160</v>
      </c>
      <c r="D20" s="6" t="s">
        <v>161</v>
      </c>
      <c r="E20" s="6" t="s">
        <v>103</v>
      </c>
      <c r="F20" s="10" t="s">
        <v>162</v>
      </c>
      <c r="G20" s="10" t="s">
        <v>145</v>
      </c>
      <c r="H20" s="6" t="s">
        <v>47</v>
      </c>
      <c r="I20" s="9">
        <v>100</v>
      </c>
      <c r="J20" s="6" t="s">
        <v>163</v>
      </c>
      <c r="K20" s="6" t="s">
        <v>96</v>
      </c>
      <c r="L20" s="6"/>
      <c r="M20" s="6" t="str">
        <f t="shared" ca="1" si="0"/>
        <v>Completed</v>
      </c>
    </row>
    <row r="21" spans="1:13" ht="55.15" customHeight="1" x14ac:dyDescent="0.25">
      <c r="A21" s="6" t="s">
        <v>164</v>
      </c>
      <c r="B21" s="6" t="s">
        <v>34</v>
      </c>
      <c r="C21" s="6" t="s">
        <v>160</v>
      </c>
      <c r="D21" s="6" t="s">
        <v>165</v>
      </c>
      <c r="E21" s="6" t="s">
        <v>103</v>
      </c>
      <c r="F21" s="10" t="s">
        <v>141</v>
      </c>
      <c r="G21" s="10" t="s">
        <v>141</v>
      </c>
      <c r="H21" s="6" t="s">
        <v>47</v>
      </c>
      <c r="I21" s="9">
        <v>100</v>
      </c>
      <c r="J21" s="6" t="s">
        <v>166</v>
      </c>
      <c r="K21" s="6" t="s">
        <v>96</v>
      </c>
      <c r="L21" s="6"/>
      <c r="M21" s="6" t="str">
        <f t="shared" ca="1" si="0"/>
        <v>Completed</v>
      </c>
    </row>
    <row r="22" spans="1:13" ht="41.85" customHeight="1" x14ac:dyDescent="0.25">
      <c r="A22" s="6" t="s">
        <v>167</v>
      </c>
      <c r="B22" s="6" t="s">
        <v>34</v>
      </c>
      <c r="C22" s="6" t="s">
        <v>160</v>
      </c>
      <c r="D22" s="6" t="s">
        <v>168</v>
      </c>
      <c r="E22" s="6" t="s">
        <v>99</v>
      </c>
      <c r="F22" s="10" t="s">
        <v>141</v>
      </c>
      <c r="G22" s="10" t="s">
        <v>141</v>
      </c>
      <c r="H22" s="6" t="s">
        <v>47</v>
      </c>
      <c r="I22" s="9">
        <v>100</v>
      </c>
      <c r="J22" s="6" t="s">
        <v>169</v>
      </c>
      <c r="K22" s="6" t="s">
        <v>96</v>
      </c>
      <c r="L22" s="6"/>
      <c r="M22" s="6" t="str">
        <f t="shared" ca="1" si="0"/>
        <v>Completed</v>
      </c>
    </row>
    <row r="23" spans="1:13" ht="41.85" customHeight="1" x14ac:dyDescent="0.25">
      <c r="A23" s="6" t="s">
        <v>170</v>
      </c>
      <c r="B23" s="6" t="s">
        <v>34</v>
      </c>
      <c r="C23" s="6" t="s">
        <v>160</v>
      </c>
      <c r="D23" s="6" t="s">
        <v>171</v>
      </c>
      <c r="E23" s="6" t="s">
        <v>92</v>
      </c>
      <c r="F23" s="10" t="s">
        <v>172</v>
      </c>
      <c r="G23" s="10" t="s">
        <v>172</v>
      </c>
      <c r="H23" s="6" t="s">
        <v>47</v>
      </c>
      <c r="I23" s="9">
        <v>100</v>
      </c>
      <c r="J23" s="6" t="s">
        <v>173</v>
      </c>
      <c r="K23" s="6" t="s">
        <v>96</v>
      </c>
      <c r="L23" s="6"/>
      <c r="M23" s="6" t="str">
        <f t="shared" ca="1" si="0"/>
        <v>Completed</v>
      </c>
    </row>
    <row r="24" spans="1:13" ht="81" customHeight="1" x14ac:dyDescent="0.25">
      <c r="A24" s="6" t="s">
        <v>174</v>
      </c>
      <c r="B24" s="6" t="s">
        <v>36</v>
      </c>
      <c r="C24" s="6" t="s">
        <v>175</v>
      </c>
      <c r="D24" s="6" t="s">
        <v>176</v>
      </c>
      <c r="E24" s="6" t="s">
        <v>108</v>
      </c>
      <c r="F24" s="10" t="s">
        <v>177</v>
      </c>
      <c r="G24" s="10" t="s">
        <v>177</v>
      </c>
      <c r="H24" s="6" t="s">
        <v>47</v>
      </c>
      <c r="I24" s="9">
        <v>100</v>
      </c>
      <c r="J24" s="6" t="s">
        <v>178</v>
      </c>
      <c r="K24" s="6" t="s">
        <v>96</v>
      </c>
      <c r="L24" s="6"/>
      <c r="M24" s="6" t="str">
        <f t="shared" ca="1" si="0"/>
        <v>Completed</v>
      </c>
    </row>
    <row r="25" spans="1:13" ht="81" customHeight="1" x14ac:dyDescent="0.25">
      <c r="A25" s="6" t="s">
        <v>179</v>
      </c>
      <c r="B25" s="6" t="s">
        <v>36</v>
      </c>
      <c r="C25" s="6" t="s">
        <v>175</v>
      </c>
      <c r="D25" s="6" t="s">
        <v>180</v>
      </c>
      <c r="E25" s="6" t="s">
        <v>99</v>
      </c>
      <c r="F25" s="10" t="s">
        <v>181</v>
      </c>
      <c r="G25" s="10" t="s">
        <v>182</v>
      </c>
      <c r="H25" s="6" t="s">
        <v>47</v>
      </c>
      <c r="I25" s="9">
        <v>100</v>
      </c>
      <c r="J25" s="6" t="s">
        <v>183</v>
      </c>
      <c r="K25" s="6" t="s">
        <v>96</v>
      </c>
      <c r="L25" s="6"/>
      <c r="M25" s="6" t="str">
        <f t="shared" ca="1" si="0"/>
        <v>Completed</v>
      </c>
    </row>
    <row r="26" spans="1:13" ht="66" customHeight="1" x14ac:dyDescent="0.25">
      <c r="A26" s="6" t="s">
        <v>184</v>
      </c>
      <c r="B26" s="6" t="s">
        <v>36</v>
      </c>
      <c r="C26" s="6" t="s">
        <v>175</v>
      </c>
      <c r="D26" s="6" t="s">
        <v>185</v>
      </c>
      <c r="E26" s="6" t="s">
        <v>112</v>
      </c>
      <c r="F26" s="10" t="s">
        <v>182</v>
      </c>
      <c r="G26" s="10" t="s">
        <v>186</v>
      </c>
      <c r="H26" s="6" t="s">
        <v>47</v>
      </c>
      <c r="I26" s="9">
        <v>100</v>
      </c>
      <c r="J26" s="6" t="s">
        <v>187</v>
      </c>
      <c r="K26" s="6" t="s">
        <v>96</v>
      </c>
      <c r="L26" s="6"/>
      <c r="M26" s="6" t="str">
        <f t="shared" ca="1" si="0"/>
        <v>Completed</v>
      </c>
    </row>
    <row r="27" spans="1:13" ht="81" customHeight="1" x14ac:dyDescent="0.25">
      <c r="A27" s="6" t="s">
        <v>188</v>
      </c>
      <c r="B27" s="6" t="s">
        <v>36</v>
      </c>
      <c r="C27" s="6" t="s">
        <v>175</v>
      </c>
      <c r="D27" s="6" t="s">
        <v>189</v>
      </c>
      <c r="E27" s="6" t="s">
        <v>112</v>
      </c>
      <c r="F27" s="10" t="s">
        <v>190</v>
      </c>
      <c r="G27" s="10" t="s">
        <v>177</v>
      </c>
      <c r="H27" s="6" t="s">
        <v>47</v>
      </c>
      <c r="I27" s="9">
        <v>100</v>
      </c>
      <c r="J27" s="6" t="s">
        <v>191</v>
      </c>
      <c r="K27" s="6" t="s">
        <v>96</v>
      </c>
      <c r="L27" s="6"/>
      <c r="M27" s="6" t="str">
        <f t="shared" ca="1" si="0"/>
        <v>Completed</v>
      </c>
    </row>
    <row r="28" spans="1:13" ht="96" customHeight="1" x14ac:dyDescent="0.25">
      <c r="A28" s="6" t="s">
        <v>192</v>
      </c>
      <c r="B28" s="6" t="s">
        <v>36</v>
      </c>
      <c r="C28" s="6" t="s">
        <v>193</v>
      </c>
      <c r="D28" s="6" t="s">
        <v>194</v>
      </c>
      <c r="E28" s="6" t="s">
        <v>103</v>
      </c>
      <c r="F28" s="10" t="s">
        <v>190</v>
      </c>
      <c r="G28" s="10" t="s">
        <v>186</v>
      </c>
      <c r="H28" s="6" t="s">
        <v>47</v>
      </c>
      <c r="I28" s="9">
        <v>100</v>
      </c>
      <c r="J28" s="6" t="s">
        <v>195</v>
      </c>
      <c r="K28" s="6" t="s">
        <v>96</v>
      </c>
      <c r="L28" s="6"/>
      <c r="M28" s="6" t="str">
        <f t="shared" ca="1" si="0"/>
        <v>Completed</v>
      </c>
    </row>
    <row r="29" spans="1:13" ht="96" customHeight="1" x14ac:dyDescent="0.25">
      <c r="A29" s="6" t="s">
        <v>196</v>
      </c>
      <c r="B29" s="6" t="s">
        <v>36</v>
      </c>
      <c r="C29" s="6" t="s">
        <v>193</v>
      </c>
      <c r="D29" s="6" t="s">
        <v>197</v>
      </c>
      <c r="E29" s="6" t="s">
        <v>108</v>
      </c>
      <c r="F29" s="10" t="s">
        <v>177</v>
      </c>
      <c r="G29" s="10" t="s">
        <v>177</v>
      </c>
      <c r="H29" s="6" t="s">
        <v>47</v>
      </c>
      <c r="I29" s="9">
        <v>100</v>
      </c>
      <c r="J29" s="6" t="s">
        <v>198</v>
      </c>
      <c r="K29" s="6" t="s">
        <v>96</v>
      </c>
      <c r="L29" s="6"/>
      <c r="M29" s="6" t="str">
        <f t="shared" ca="1" si="0"/>
        <v>Completed</v>
      </c>
    </row>
    <row r="30" spans="1:13" ht="81" customHeight="1" x14ac:dyDescent="0.25">
      <c r="A30" s="6" t="s">
        <v>199</v>
      </c>
      <c r="B30" s="6" t="s">
        <v>36</v>
      </c>
      <c r="C30" s="6" t="s">
        <v>193</v>
      </c>
      <c r="D30" s="6" t="s">
        <v>200</v>
      </c>
      <c r="E30" s="6" t="s">
        <v>112</v>
      </c>
      <c r="F30" s="10" t="s">
        <v>177</v>
      </c>
      <c r="G30" s="10" t="s">
        <v>177</v>
      </c>
      <c r="H30" s="6" t="s">
        <v>47</v>
      </c>
      <c r="I30" s="9">
        <v>100</v>
      </c>
      <c r="J30" s="6" t="s">
        <v>201</v>
      </c>
      <c r="K30" s="6" t="s">
        <v>96</v>
      </c>
      <c r="L30" s="6"/>
      <c r="M30" s="6" t="str">
        <f t="shared" ca="1" si="0"/>
        <v>Completed</v>
      </c>
    </row>
    <row r="31" spans="1:13" ht="81" customHeight="1" x14ac:dyDescent="0.25">
      <c r="A31" s="6" t="s">
        <v>202</v>
      </c>
      <c r="B31" s="6" t="s">
        <v>36</v>
      </c>
      <c r="C31" s="6" t="s">
        <v>193</v>
      </c>
      <c r="D31" s="6" t="s">
        <v>203</v>
      </c>
      <c r="E31" s="6" t="s">
        <v>108</v>
      </c>
      <c r="F31" s="10" t="s">
        <v>190</v>
      </c>
      <c r="G31" s="10" t="s">
        <v>204</v>
      </c>
      <c r="H31" s="6" t="s">
        <v>47</v>
      </c>
      <c r="I31" s="9">
        <v>100</v>
      </c>
      <c r="J31" s="6" t="s">
        <v>205</v>
      </c>
      <c r="K31" s="6" t="s">
        <v>96</v>
      </c>
      <c r="L31" s="6"/>
      <c r="M31" s="6" t="str">
        <f t="shared" ca="1" si="0"/>
        <v>Completed</v>
      </c>
    </row>
    <row r="32" spans="1:13" ht="66" customHeight="1" x14ac:dyDescent="0.25">
      <c r="A32" s="6" t="s">
        <v>206</v>
      </c>
      <c r="B32" s="6" t="s">
        <v>36</v>
      </c>
      <c r="C32" s="6" t="s">
        <v>193</v>
      </c>
      <c r="D32" s="6" t="s">
        <v>207</v>
      </c>
      <c r="E32" s="6" t="s">
        <v>99</v>
      </c>
      <c r="F32" s="10" t="s">
        <v>190</v>
      </c>
      <c r="G32" s="10" t="s">
        <v>204</v>
      </c>
      <c r="H32" s="6" t="s">
        <v>47</v>
      </c>
      <c r="I32" s="9">
        <v>100</v>
      </c>
      <c r="J32" s="6" t="s">
        <v>208</v>
      </c>
      <c r="K32" s="6" t="s">
        <v>96</v>
      </c>
      <c r="L32" s="6"/>
      <c r="M32" s="6" t="str">
        <f t="shared" ca="1" si="0"/>
        <v>Completed</v>
      </c>
    </row>
    <row r="33" spans="1:13" ht="66" customHeight="1" x14ac:dyDescent="0.25">
      <c r="A33" s="6" t="s">
        <v>209</v>
      </c>
      <c r="B33" s="6" t="s">
        <v>36</v>
      </c>
      <c r="C33" s="6" t="s">
        <v>193</v>
      </c>
      <c r="D33" s="6" t="s">
        <v>210</v>
      </c>
      <c r="E33" s="6" t="s">
        <v>92</v>
      </c>
      <c r="F33" s="10" t="s">
        <v>190</v>
      </c>
      <c r="G33" s="10" t="s">
        <v>204</v>
      </c>
      <c r="H33" s="6" t="s">
        <v>47</v>
      </c>
      <c r="I33" s="9">
        <v>100</v>
      </c>
      <c r="J33" s="6" t="s">
        <v>211</v>
      </c>
      <c r="K33" s="6" t="s">
        <v>96</v>
      </c>
      <c r="L33" s="6"/>
      <c r="M33" s="6" t="str">
        <f t="shared" ca="1" si="0"/>
        <v>Completed</v>
      </c>
    </row>
    <row r="34" spans="1:13" ht="81" customHeight="1" x14ac:dyDescent="0.25">
      <c r="A34" s="6" t="s">
        <v>212</v>
      </c>
      <c r="B34" s="6" t="s">
        <v>36</v>
      </c>
      <c r="C34" s="6" t="s">
        <v>213</v>
      </c>
      <c r="D34" s="6" t="s">
        <v>214</v>
      </c>
      <c r="E34" s="6" t="s">
        <v>103</v>
      </c>
      <c r="F34" s="10" t="s">
        <v>215</v>
      </c>
      <c r="G34" s="10" t="s">
        <v>215</v>
      </c>
      <c r="H34" s="6" t="s">
        <v>47</v>
      </c>
      <c r="I34" s="9">
        <v>100</v>
      </c>
      <c r="J34" s="6" t="s">
        <v>216</v>
      </c>
      <c r="K34" s="6" t="s">
        <v>96</v>
      </c>
      <c r="L34" s="6"/>
      <c r="M34" s="6" t="str">
        <f t="shared" ca="1" si="0"/>
        <v>Completed</v>
      </c>
    </row>
    <row r="35" spans="1:13" ht="51" customHeight="1" x14ac:dyDescent="0.25">
      <c r="A35" s="6" t="s">
        <v>217</v>
      </c>
      <c r="B35" s="6" t="s">
        <v>36</v>
      </c>
      <c r="C35" s="6" t="s">
        <v>213</v>
      </c>
      <c r="D35" s="6" t="s">
        <v>218</v>
      </c>
      <c r="E35" s="6" t="s">
        <v>99</v>
      </c>
      <c r="F35" s="10" t="s">
        <v>182</v>
      </c>
      <c r="G35" s="10" t="s">
        <v>215</v>
      </c>
      <c r="H35" s="6" t="s">
        <v>47</v>
      </c>
      <c r="I35" s="9">
        <v>100</v>
      </c>
      <c r="J35" s="6" t="s">
        <v>219</v>
      </c>
      <c r="K35" s="6" t="s">
        <v>96</v>
      </c>
      <c r="L35" s="6"/>
      <c r="M35" s="6" t="str">
        <f t="shared" ca="1" si="0"/>
        <v>Completed</v>
      </c>
    </row>
    <row r="36" spans="1:13" ht="51" customHeight="1" x14ac:dyDescent="0.25">
      <c r="A36" s="6" t="s">
        <v>220</v>
      </c>
      <c r="B36" s="6" t="s">
        <v>36</v>
      </c>
      <c r="C36" s="6" t="s">
        <v>213</v>
      </c>
      <c r="D36" s="6" t="s">
        <v>221</v>
      </c>
      <c r="E36" s="6" t="s">
        <v>92</v>
      </c>
      <c r="F36" s="10" t="s">
        <v>190</v>
      </c>
      <c r="G36" s="10" t="s">
        <v>222</v>
      </c>
      <c r="H36" s="6" t="s">
        <v>47</v>
      </c>
      <c r="I36" s="9">
        <v>100</v>
      </c>
      <c r="J36" s="6" t="s">
        <v>223</v>
      </c>
      <c r="K36" s="6" t="s">
        <v>96</v>
      </c>
      <c r="L36" s="6"/>
      <c r="M36" s="6" t="str">
        <f t="shared" ca="1" si="0"/>
        <v>Completed</v>
      </c>
    </row>
    <row r="37" spans="1:13" ht="15" customHeight="1" x14ac:dyDescent="0.25"/>
    <row r="38" spans="1:13" ht="15" customHeight="1" x14ac:dyDescent="0.25"/>
    <row r="39" spans="1:13" ht="15" customHeight="1" x14ac:dyDescent="0.25"/>
    <row r="40" spans="1:13" ht="15" customHeight="1" x14ac:dyDescent="0.25"/>
    <row r="41" spans="1:13" ht="15" customHeight="1" x14ac:dyDescent="0.25"/>
    <row r="42" spans="1:13" ht="15" customHeight="1" x14ac:dyDescent="0.25"/>
    <row r="43" spans="1:13" ht="15" customHeight="1" x14ac:dyDescent="0.25"/>
    <row r="44" spans="1:13" ht="15" customHeight="1" x14ac:dyDescent="0.25"/>
    <row r="45" spans="1:13" ht="15" customHeight="1" x14ac:dyDescent="0.25"/>
    <row r="46" spans="1:13" ht="15" customHeight="1" x14ac:dyDescent="0.25"/>
    <row r="47" spans="1:13" ht="15" customHeight="1" x14ac:dyDescent="0.25"/>
    <row r="48" spans="1:1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sheetData>
  <mergeCells count="1">
    <mergeCell ref="A1:M1"/>
  </mergeCells>
  <conditionalFormatting sqref="H3:H60">
    <cfRule type="expression" dxfId="11" priority="2">
      <formula>H3="Completed"</formula>
    </cfRule>
    <cfRule type="expression" dxfId="10" priority="3">
      <formula>H3="In Progress"</formula>
    </cfRule>
    <cfRule type="expression" dxfId="9" priority="4">
      <formula>H3="Delayed"</formula>
    </cfRule>
    <cfRule type="expression" dxfId="8" priority="5">
      <formula>H3="Blocked"</formula>
    </cfRule>
  </conditionalFormatting>
  <conditionalFormatting sqref="M3:M60">
    <cfRule type="expression" dxfId="7" priority="6">
      <formula>M3="Overdue"</formula>
    </cfRule>
  </conditionalFormatting>
  <conditionalFormatting sqref="I3:I60">
    <cfRule type="dataBar" priority="9">
      <dataBar>
        <cfvo type="min"/>
        <cfvo type="max"/>
        <color rgb="FF1F5A94"/>
      </dataBar>
    </cfRule>
    <cfRule type="dataBar" priority="10">
      <dataBar>
        <cfvo type="min"/>
        <cfvo type="max"/>
        <color rgb="FF1F5A94"/>
      </dataBar>
    </cfRule>
  </conditionalFormatting>
  <dataValidations count="4">
    <dataValidation type="list" sqref="B3:B60" xr:uid="{00000000-0002-0000-0200-000000000000}">
      <formula1>"Unit 1 / Phase 1,Phase 2,Phase 3,Final"</formula1>
      <formula2>0</formula2>
    </dataValidation>
    <dataValidation type="list" sqref="H3:H60" xr:uid="{00000000-0002-0000-0200-000001000000}">
      <formula1>"Not Started,In Progress,Completed,Delayed,Blocked"</formula1>
      <formula2>0</formula2>
    </dataValidation>
    <dataValidation type="list" sqref="I3:I60" xr:uid="{00000000-0002-0000-0200-000002000000}">
      <formula1>"0,25,50,75,100"</formula1>
      <formula2>0</formula2>
    </dataValidation>
    <dataValidation type="list" sqref="K3:K60" xr:uid="{00000000-0002-0000-0200-000003000000}">
      <formula1>"Yes,No"</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
  <sheetViews>
    <sheetView topLeftCell="A16" zoomScale="90" zoomScaleNormal="90" workbookViewId="0">
      <selection activeCell="A13" sqref="A13"/>
    </sheetView>
  </sheetViews>
  <sheetFormatPr defaultColWidth="8.7109375" defaultRowHeight="15" x14ac:dyDescent="0.25"/>
  <cols>
    <col min="1" max="1" width="24" style="14" customWidth="1"/>
    <col min="2" max="2" width="16" style="14" customWidth="1"/>
    <col min="3" max="3" width="19" style="14" customWidth="1"/>
    <col min="4" max="4" width="15" style="14" customWidth="1"/>
    <col min="5" max="5" width="32" style="14" customWidth="1"/>
    <col min="6" max="6" width="38" style="14" customWidth="1"/>
    <col min="7" max="7" width="14" style="14" customWidth="1"/>
    <col min="8" max="8" width="12" style="14" customWidth="1"/>
    <col min="9" max="9" width="34" style="14" customWidth="1"/>
    <col min="10" max="10" width="16" style="14" customWidth="1"/>
    <col min="11" max="11" width="14" style="14" customWidth="1"/>
    <col min="12" max="12" width="28" style="14" customWidth="1"/>
  </cols>
  <sheetData>
    <row r="1" spans="1:12" ht="19.5" customHeight="1" x14ac:dyDescent="0.25">
      <c r="A1" s="16" t="s">
        <v>224</v>
      </c>
      <c r="B1" s="17"/>
      <c r="C1" s="17"/>
      <c r="D1" s="17"/>
      <c r="E1" s="17"/>
      <c r="F1" s="17"/>
      <c r="G1" s="17"/>
      <c r="H1" s="17"/>
      <c r="I1" s="17"/>
      <c r="J1" s="17"/>
      <c r="K1" s="17"/>
      <c r="L1" s="17"/>
    </row>
    <row r="2" spans="1:12" ht="27.75" customHeight="1" x14ac:dyDescent="0.25">
      <c r="A2" s="15" t="s">
        <v>225</v>
      </c>
      <c r="B2" s="15" t="s">
        <v>226</v>
      </c>
      <c r="C2" s="15" t="s">
        <v>77</v>
      </c>
      <c r="D2" s="15" t="s">
        <v>78</v>
      </c>
      <c r="E2" s="15" t="s">
        <v>227</v>
      </c>
      <c r="F2" s="15" t="s">
        <v>228</v>
      </c>
      <c r="G2" s="15" t="s">
        <v>229</v>
      </c>
      <c r="H2" s="15" t="s">
        <v>230</v>
      </c>
      <c r="I2" s="15" t="s">
        <v>85</v>
      </c>
      <c r="J2" s="15" t="s">
        <v>86</v>
      </c>
      <c r="K2" s="15" t="s">
        <v>231</v>
      </c>
      <c r="L2" s="15" t="s">
        <v>232</v>
      </c>
    </row>
    <row r="3" spans="1:12" ht="30" customHeight="1" x14ac:dyDescent="0.25">
      <c r="A3" s="6" t="s">
        <v>92</v>
      </c>
      <c r="B3" s="6" t="s">
        <v>233</v>
      </c>
      <c r="C3" s="6" t="s">
        <v>32</v>
      </c>
      <c r="D3" s="7" t="s">
        <v>234</v>
      </c>
      <c r="E3" s="11" t="s">
        <v>235</v>
      </c>
      <c r="F3" s="7" t="s">
        <v>236</v>
      </c>
      <c r="G3" s="7" t="s">
        <v>237</v>
      </c>
      <c r="H3" s="7">
        <v>3</v>
      </c>
      <c r="I3" s="7" t="s">
        <v>238</v>
      </c>
      <c r="J3" s="6" t="s">
        <v>239</v>
      </c>
      <c r="K3" s="7" t="s">
        <v>94</v>
      </c>
      <c r="L3" s="6"/>
    </row>
    <row r="4" spans="1:12" ht="15" customHeight="1" x14ac:dyDescent="0.25">
      <c r="A4" s="6" t="s">
        <v>108</v>
      </c>
      <c r="B4" s="6" t="s">
        <v>240</v>
      </c>
      <c r="C4" s="6" t="s">
        <v>32</v>
      </c>
      <c r="D4" s="7" t="s">
        <v>241</v>
      </c>
      <c r="E4" s="7" t="s">
        <v>242</v>
      </c>
      <c r="F4" s="7" t="s">
        <v>243</v>
      </c>
      <c r="G4" s="7" t="s">
        <v>237</v>
      </c>
      <c r="H4" s="7">
        <v>3</v>
      </c>
      <c r="I4" s="7" t="s">
        <v>244</v>
      </c>
      <c r="J4" s="6" t="s">
        <v>239</v>
      </c>
      <c r="K4" s="7" t="s">
        <v>94</v>
      </c>
      <c r="L4" s="6"/>
    </row>
    <row r="5" spans="1:12" ht="28.5" customHeight="1" x14ac:dyDescent="0.25">
      <c r="A5" s="6" t="s">
        <v>112</v>
      </c>
      <c r="B5" s="6" t="s">
        <v>245</v>
      </c>
      <c r="C5" s="6" t="s">
        <v>32</v>
      </c>
      <c r="D5" s="7" t="s">
        <v>246</v>
      </c>
      <c r="E5" s="7" t="s">
        <v>247</v>
      </c>
      <c r="F5" s="7" t="s">
        <v>248</v>
      </c>
      <c r="G5" s="7" t="s">
        <v>249</v>
      </c>
      <c r="H5" s="7">
        <v>3</v>
      </c>
      <c r="I5" s="7" t="s">
        <v>250</v>
      </c>
      <c r="J5" s="6" t="s">
        <v>239</v>
      </c>
      <c r="K5" s="7" t="s">
        <v>94</v>
      </c>
      <c r="L5" s="6"/>
    </row>
    <row r="6" spans="1:12" ht="28.5" customHeight="1" x14ac:dyDescent="0.25">
      <c r="A6" s="6" t="s">
        <v>103</v>
      </c>
      <c r="B6" s="6" t="s">
        <v>251</v>
      </c>
      <c r="C6" s="6" t="s">
        <v>32</v>
      </c>
      <c r="D6" s="7" t="s">
        <v>252</v>
      </c>
      <c r="E6" s="7" t="s">
        <v>253</v>
      </c>
      <c r="F6" s="7" t="s">
        <v>254</v>
      </c>
      <c r="G6" s="7" t="s">
        <v>93</v>
      </c>
      <c r="H6" s="7">
        <v>3</v>
      </c>
      <c r="I6" s="7" t="s">
        <v>255</v>
      </c>
      <c r="J6" s="6" t="s">
        <v>239</v>
      </c>
      <c r="K6" s="7" t="s">
        <v>94</v>
      </c>
      <c r="L6" s="6"/>
    </row>
    <row r="7" spans="1:12" ht="28.5" customHeight="1" x14ac:dyDescent="0.25">
      <c r="A7" s="6" t="s">
        <v>99</v>
      </c>
      <c r="B7" s="6" t="s">
        <v>256</v>
      </c>
      <c r="C7" s="6" t="s">
        <v>32</v>
      </c>
      <c r="D7" s="7" t="s">
        <v>257</v>
      </c>
      <c r="E7" s="7" t="s">
        <v>258</v>
      </c>
      <c r="F7" s="7" t="s">
        <v>259</v>
      </c>
      <c r="G7" s="7" t="s">
        <v>94</v>
      </c>
      <c r="H7" s="7">
        <v>3</v>
      </c>
      <c r="I7" s="7" t="s">
        <v>260</v>
      </c>
      <c r="J7" s="6" t="s">
        <v>239</v>
      </c>
      <c r="K7" s="7" t="s">
        <v>94</v>
      </c>
      <c r="L7" s="6"/>
    </row>
    <row r="8" spans="1:12" ht="15" customHeight="1" x14ac:dyDescent="0.25">
      <c r="A8" s="6" t="s">
        <v>92</v>
      </c>
      <c r="B8" s="6" t="s">
        <v>233</v>
      </c>
      <c r="C8" s="6" t="s">
        <v>34</v>
      </c>
      <c r="D8" s="7" t="s">
        <v>234</v>
      </c>
      <c r="E8" t="s">
        <v>261</v>
      </c>
      <c r="F8" t="s">
        <v>262</v>
      </c>
      <c r="G8" s="7" t="s">
        <v>137</v>
      </c>
      <c r="H8" s="7"/>
      <c r="I8" t="s">
        <v>263</v>
      </c>
      <c r="J8" s="6" t="s">
        <v>239</v>
      </c>
      <c r="K8" s="7" t="s">
        <v>172</v>
      </c>
      <c r="L8" s="6" t="s">
        <v>264</v>
      </c>
    </row>
    <row r="9" spans="1:12" ht="15" customHeight="1" x14ac:dyDescent="0.25">
      <c r="A9" s="6" t="s">
        <v>108</v>
      </c>
      <c r="B9" s="6" t="s">
        <v>240</v>
      </c>
      <c r="C9" s="6" t="s">
        <v>34</v>
      </c>
      <c r="D9" s="7" t="s">
        <v>241</v>
      </c>
      <c r="E9" t="s">
        <v>265</v>
      </c>
      <c r="F9" t="s">
        <v>266</v>
      </c>
      <c r="G9" s="7" t="s">
        <v>141</v>
      </c>
      <c r="H9" s="7"/>
      <c r="I9" t="s">
        <v>267</v>
      </c>
      <c r="J9" s="6" t="s">
        <v>239</v>
      </c>
      <c r="K9" s="7" t="s">
        <v>172</v>
      </c>
      <c r="L9" s="6" t="s">
        <v>264</v>
      </c>
    </row>
    <row r="10" spans="1:12" ht="15" customHeight="1" x14ac:dyDescent="0.25">
      <c r="A10" s="6" t="s">
        <v>112</v>
      </c>
      <c r="B10" s="6" t="s">
        <v>245</v>
      </c>
      <c r="C10" s="6" t="s">
        <v>34</v>
      </c>
      <c r="D10" s="7" t="s">
        <v>246</v>
      </c>
      <c r="E10" t="s">
        <v>268</v>
      </c>
      <c r="F10" t="s">
        <v>269</v>
      </c>
      <c r="G10" s="7" t="s">
        <v>150</v>
      </c>
      <c r="H10" s="7"/>
      <c r="I10" t="s">
        <v>270</v>
      </c>
      <c r="J10" s="6" t="s">
        <v>239</v>
      </c>
      <c r="K10" s="7" t="s">
        <v>172</v>
      </c>
      <c r="L10" s="6" t="s">
        <v>264</v>
      </c>
    </row>
    <row r="11" spans="1:12" ht="15" customHeight="1" x14ac:dyDescent="0.25">
      <c r="A11" s="6" t="s">
        <v>103</v>
      </c>
      <c r="B11" s="6" t="s">
        <v>251</v>
      </c>
      <c r="C11" s="6" t="s">
        <v>34</v>
      </c>
      <c r="D11" s="7" t="s">
        <v>252</v>
      </c>
      <c r="E11" t="s">
        <v>271</v>
      </c>
      <c r="F11" t="s">
        <v>272</v>
      </c>
      <c r="G11" s="7" t="s">
        <v>145</v>
      </c>
      <c r="H11" s="7"/>
      <c r="I11" t="s">
        <v>273</v>
      </c>
      <c r="J11" s="6" t="s">
        <v>239</v>
      </c>
      <c r="K11" s="7" t="s">
        <v>172</v>
      </c>
      <c r="L11" s="6" t="s">
        <v>264</v>
      </c>
    </row>
    <row r="12" spans="1:12" ht="15" customHeight="1" x14ac:dyDescent="0.25">
      <c r="A12" s="6" t="s">
        <v>99</v>
      </c>
      <c r="B12" s="6" t="s">
        <v>256</v>
      </c>
      <c r="C12" s="6" t="s">
        <v>34</v>
      </c>
      <c r="D12" s="7" t="s">
        <v>257</v>
      </c>
      <c r="E12" t="s">
        <v>274</v>
      </c>
      <c r="F12" t="s">
        <v>275</v>
      </c>
      <c r="G12" s="7" t="s">
        <v>145</v>
      </c>
      <c r="H12" s="7"/>
      <c r="I12" t="s">
        <v>276</v>
      </c>
      <c r="J12" s="6" t="s">
        <v>239</v>
      </c>
      <c r="K12" s="7" t="s">
        <v>172</v>
      </c>
      <c r="L12" s="6" t="s">
        <v>264</v>
      </c>
    </row>
    <row r="13" spans="1:12" ht="156" customHeight="1" x14ac:dyDescent="0.25">
      <c r="A13" s="6" t="s">
        <v>446</v>
      </c>
      <c r="B13" s="6" t="s">
        <v>233</v>
      </c>
      <c r="C13" s="6" t="s">
        <v>36</v>
      </c>
      <c r="D13" s="7" t="s">
        <v>277</v>
      </c>
      <c r="E13" t="s">
        <v>278</v>
      </c>
      <c r="F13" t="s">
        <v>279</v>
      </c>
      <c r="G13" s="7" t="s">
        <v>177</v>
      </c>
      <c r="H13" s="7">
        <v>8</v>
      </c>
      <c r="I13" t="s">
        <v>280</v>
      </c>
      <c r="J13" s="6" t="s">
        <v>96</v>
      </c>
      <c r="K13" s="7" t="s">
        <v>215</v>
      </c>
      <c r="L13" s="6" t="s">
        <v>281</v>
      </c>
    </row>
    <row r="14" spans="1:12" ht="156" customHeight="1" x14ac:dyDescent="0.25">
      <c r="A14" s="6" t="s">
        <v>108</v>
      </c>
      <c r="B14" s="6" t="s">
        <v>240</v>
      </c>
      <c r="C14" s="6" t="s">
        <v>36</v>
      </c>
      <c r="D14" s="7" t="s">
        <v>282</v>
      </c>
      <c r="E14" t="s">
        <v>283</v>
      </c>
      <c r="F14" t="s">
        <v>284</v>
      </c>
      <c r="G14" s="7" t="s">
        <v>182</v>
      </c>
      <c r="H14" s="7">
        <v>10</v>
      </c>
      <c r="I14" t="s">
        <v>285</v>
      </c>
      <c r="J14" s="6" t="s">
        <v>96</v>
      </c>
      <c r="K14" s="7" t="s">
        <v>215</v>
      </c>
      <c r="L14" s="6" t="s">
        <v>286</v>
      </c>
    </row>
    <row r="15" spans="1:12" ht="156" customHeight="1" x14ac:dyDescent="0.25">
      <c r="A15" s="6" t="s">
        <v>112</v>
      </c>
      <c r="B15" s="6" t="s">
        <v>245</v>
      </c>
      <c r="C15" s="6" t="s">
        <v>36</v>
      </c>
      <c r="D15" s="7" t="s">
        <v>287</v>
      </c>
      <c r="E15" t="s">
        <v>288</v>
      </c>
      <c r="F15" t="s">
        <v>289</v>
      </c>
      <c r="G15" s="7" t="s">
        <v>182</v>
      </c>
      <c r="H15" s="7">
        <v>10</v>
      </c>
      <c r="I15" t="s">
        <v>290</v>
      </c>
      <c r="J15" s="6" t="s">
        <v>96</v>
      </c>
      <c r="K15" s="7" t="s">
        <v>215</v>
      </c>
      <c r="L15" s="6" t="s">
        <v>291</v>
      </c>
    </row>
    <row r="16" spans="1:12" ht="156" customHeight="1" x14ac:dyDescent="0.25">
      <c r="A16" s="6" t="s">
        <v>103</v>
      </c>
      <c r="B16" s="6" t="s">
        <v>251</v>
      </c>
      <c r="C16" s="6" t="s">
        <v>36</v>
      </c>
      <c r="D16" s="7" t="s">
        <v>292</v>
      </c>
      <c r="E16" t="s">
        <v>293</v>
      </c>
      <c r="F16" t="s">
        <v>294</v>
      </c>
      <c r="G16" s="7" t="s">
        <v>215</v>
      </c>
      <c r="H16" s="7">
        <v>4</v>
      </c>
      <c r="I16" t="s">
        <v>295</v>
      </c>
      <c r="J16" s="6" t="s">
        <v>96</v>
      </c>
      <c r="K16" s="7" t="s">
        <v>215</v>
      </c>
      <c r="L16" s="6" t="s">
        <v>296</v>
      </c>
    </row>
    <row r="17" spans="1:12" ht="156" customHeight="1" x14ac:dyDescent="0.25">
      <c r="A17" s="6" t="s">
        <v>99</v>
      </c>
      <c r="B17" s="6" t="s">
        <v>256</v>
      </c>
      <c r="C17" s="6" t="s">
        <v>36</v>
      </c>
      <c r="D17" s="7" t="s">
        <v>297</v>
      </c>
      <c r="E17" t="s">
        <v>298</v>
      </c>
      <c r="F17" t="s">
        <v>299</v>
      </c>
      <c r="G17" s="7" t="s">
        <v>177</v>
      </c>
      <c r="H17" s="7">
        <v>8</v>
      </c>
      <c r="I17" t="s">
        <v>300</v>
      </c>
      <c r="J17" s="6" t="s">
        <v>96</v>
      </c>
      <c r="K17" s="7" t="s">
        <v>215</v>
      </c>
      <c r="L17" s="6" t="s">
        <v>301</v>
      </c>
    </row>
    <row r="18" spans="1:12" ht="156" customHeight="1" x14ac:dyDescent="0.25">
      <c r="A18" s="6" t="s">
        <v>103</v>
      </c>
      <c r="B18" s="6" t="s">
        <v>251</v>
      </c>
      <c r="C18" s="6" t="s">
        <v>36</v>
      </c>
      <c r="D18" s="7" t="s">
        <v>302</v>
      </c>
      <c r="E18" t="s">
        <v>303</v>
      </c>
      <c r="F18" t="s">
        <v>304</v>
      </c>
      <c r="G18" s="7"/>
      <c r="H18" s="7"/>
      <c r="I18" t="s">
        <v>305</v>
      </c>
      <c r="J18" s="6"/>
      <c r="K18" s="7"/>
      <c r="L18" s="6" t="s">
        <v>306</v>
      </c>
    </row>
    <row r="19" spans="1:12" ht="156" customHeight="1" x14ac:dyDescent="0.25">
      <c r="A19" s="6" t="s">
        <v>92</v>
      </c>
      <c r="B19" s="6" t="s">
        <v>233</v>
      </c>
      <c r="C19" s="6" t="s">
        <v>36</v>
      </c>
      <c r="D19" s="7" t="s">
        <v>307</v>
      </c>
      <c r="E19" t="s">
        <v>308</v>
      </c>
      <c r="F19" t="s">
        <v>309</v>
      </c>
      <c r="G19" s="7"/>
      <c r="H19" s="7"/>
      <c r="I19" t="s">
        <v>310</v>
      </c>
      <c r="J19" s="6"/>
      <c r="K19" s="7"/>
      <c r="L19" s="6" t="s">
        <v>311</v>
      </c>
    </row>
  </sheetData>
  <mergeCells count="1">
    <mergeCell ref="A1:L1"/>
  </mergeCells>
  <conditionalFormatting sqref="J3:J40">
    <cfRule type="expression" dxfId="6" priority="2">
      <formula>J3="Yes"</formula>
    </cfRule>
    <cfRule type="expression" dxfId="5" priority="3">
      <formula>J3="No"</formula>
    </cfRule>
  </conditionalFormatting>
  <dataValidations count="2">
    <dataValidation type="list" sqref="C3:C40" xr:uid="{00000000-0002-0000-0300-000000000000}">
      <formula1>"Unit 1 / Phase 1,Phase 2,Phase 3,Final"</formula1>
      <formula2>0</formula2>
    </dataValidation>
    <dataValidation type="list" sqref="J3:J40" xr:uid="{00000000-0002-0000-0300-000001000000}">
      <formula1>"Yes,No"</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B4" zoomScaleNormal="100" workbookViewId="0">
      <selection activeCell="G14" sqref="G14"/>
    </sheetView>
  </sheetViews>
  <sheetFormatPr defaultColWidth="8.7109375" defaultRowHeight="15" x14ac:dyDescent="0.25"/>
  <cols>
    <col min="1" max="1" width="13" style="14" customWidth="1"/>
    <col min="2" max="2" width="19" style="14" customWidth="1"/>
    <col min="3" max="3" width="18" style="14" customWidth="1"/>
    <col min="4" max="6" width="28" style="14" customWidth="1"/>
    <col min="7" max="7" width="42" style="14" customWidth="1"/>
    <col min="8" max="8" width="32" style="14" customWidth="1"/>
    <col min="9" max="9" width="34" style="14" customWidth="1"/>
  </cols>
  <sheetData>
    <row r="1" spans="1:9" ht="19.5" customHeight="1" x14ac:dyDescent="0.25">
      <c r="A1" s="16" t="s">
        <v>312</v>
      </c>
      <c r="B1" s="17"/>
      <c r="C1" s="17"/>
      <c r="D1" s="17"/>
      <c r="E1" s="17"/>
      <c r="F1" s="17"/>
      <c r="G1" s="17"/>
      <c r="H1" s="17"/>
      <c r="I1" s="17"/>
    </row>
    <row r="2" spans="1:9" ht="27.75" customHeight="1" x14ac:dyDescent="0.25">
      <c r="A2" s="15" t="s">
        <v>313</v>
      </c>
      <c r="B2" s="15" t="s">
        <v>77</v>
      </c>
      <c r="C2" s="15" t="s">
        <v>314</v>
      </c>
      <c r="D2" s="15" t="s">
        <v>3</v>
      </c>
      <c r="E2" s="15" t="s">
        <v>315</v>
      </c>
      <c r="F2" s="15" t="s">
        <v>316</v>
      </c>
      <c r="G2" s="15" t="s">
        <v>317</v>
      </c>
      <c r="H2" s="15" t="s">
        <v>318</v>
      </c>
      <c r="I2" s="15" t="s">
        <v>85</v>
      </c>
    </row>
    <row r="3" spans="1:9" ht="60" customHeight="1" x14ac:dyDescent="0.25">
      <c r="A3" s="10" t="s">
        <v>93</v>
      </c>
      <c r="B3" s="6" t="s">
        <v>32</v>
      </c>
      <c r="C3" s="6" t="s">
        <v>319</v>
      </c>
      <c r="D3" s="6" t="s">
        <v>320</v>
      </c>
      <c r="E3" s="6" t="s">
        <v>321</v>
      </c>
      <c r="F3" s="6" t="s">
        <v>322</v>
      </c>
      <c r="G3" s="6" t="s">
        <v>323</v>
      </c>
      <c r="H3" s="6" t="s">
        <v>324</v>
      </c>
      <c r="I3" s="6" t="s">
        <v>325</v>
      </c>
    </row>
    <row r="4" spans="1:9" ht="90" customHeight="1" x14ac:dyDescent="0.25">
      <c r="A4" s="10" t="s">
        <v>93</v>
      </c>
      <c r="B4" s="6" t="s">
        <v>32</v>
      </c>
      <c r="C4" s="6" t="s">
        <v>319</v>
      </c>
      <c r="D4" s="6" t="s">
        <v>326</v>
      </c>
      <c r="E4" s="6" t="s">
        <v>321</v>
      </c>
      <c r="F4" s="6" t="s">
        <v>322</v>
      </c>
      <c r="G4" s="6" t="s">
        <v>327</v>
      </c>
      <c r="H4" s="6" t="s">
        <v>328</v>
      </c>
      <c r="I4" s="6" t="s">
        <v>329</v>
      </c>
    </row>
    <row r="5" spans="1:9" ht="57" customHeight="1" x14ac:dyDescent="0.25">
      <c r="A5" s="7" t="s">
        <v>93</v>
      </c>
      <c r="B5" s="7" t="s">
        <v>32</v>
      </c>
      <c r="C5" s="7" t="s">
        <v>319</v>
      </c>
      <c r="D5" s="7" t="s">
        <v>330</v>
      </c>
      <c r="E5" s="7" t="s">
        <v>331</v>
      </c>
      <c r="F5" s="7" t="s">
        <v>332</v>
      </c>
      <c r="G5" s="7" t="s">
        <v>333</v>
      </c>
      <c r="H5" s="7" t="s">
        <v>334</v>
      </c>
      <c r="I5" s="6"/>
    </row>
    <row r="6" spans="1:9" ht="95.45" customHeight="1" x14ac:dyDescent="0.25">
      <c r="A6" s="10" t="s">
        <v>172</v>
      </c>
      <c r="B6" s="6" t="s">
        <v>34</v>
      </c>
      <c r="C6" s="6" t="s">
        <v>319</v>
      </c>
      <c r="D6" s="6" t="s">
        <v>335</v>
      </c>
      <c r="E6" s="6" t="s">
        <v>321</v>
      </c>
      <c r="F6" s="6" t="s">
        <v>336</v>
      </c>
      <c r="G6" s="6" t="s">
        <v>337</v>
      </c>
      <c r="H6" s="6" t="s">
        <v>338</v>
      </c>
      <c r="I6" s="6" t="s">
        <v>339</v>
      </c>
    </row>
    <row r="7" spans="1:9" ht="200.1" customHeight="1" x14ac:dyDescent="0.25">
      <c r="A7" s="10" t="s">
        <v>215</v>
      </c>
      <c r="B7" s="6" t="s">
        <v>36</v>
      </c>
      <c r="C7" s="6" t="s">
        <v>319</v>
      </c>
      <c r="D7" s="6" t="s">
        <v>340</v>
      </c>
      <c r="E7" s="6" t="s">
        <v>321</v>
      </c>
      <c r="F7" s="6" t="s">
        <v>341</v>
      </c>
      <c r="G7" s="6" t="s">
        <v>342</v>
      </c>
      <c r="H7" s="6" t="s">
        <v>343</v>
      </c>
      <c r="I7" s="6" t="s">
        <v>344</v>
      </c>
    </row>
    <row r="8" spans="1:9" ht="15" customHeight="1" x14ac:dyDescent="0.25">
      <c r="A8" s="10"/>
      <c r="B8" s="6"/>
      <c r="C8" s="6"/>
      <c r="D8" s="6"/>
      <c r="E8" s="6"/>
      <c r="F8" s="6"/>
      <c r="G8" s="6"/>
      <c r="H8" s="6"/>
      <c r="I8" s="6"/>
    </row>
    <row r="9" spans="1:9" ht="15" customHeight="1" x14ac:dyDescent="0.25">
      <c r="A9" s="10"/>
      <c r="B9" s="6"/>
      <c r="C9" s="6"/>
      <c r="D9" s="6"/>
      <c r="E9" s="6"/>
      <c r="F9" s="6"/>
      <c r="G9" s="6"/>
      <c r="H9" s="6"/>
      <c r="I9" s="6"/>
    </row>
    <row r="10" spans="1:9" ht="15" customHeight="1" x14ac:dyDescent="0.25">
      <c r="A10" s="10"/>
      <c r="B10" s="6"/>
      <c r="C10" s="6"/>
      <c r="D10" s="6"/>
      <c r="E10" s="6"/>
      <c r="F10" s="6"/>
      <c r="G10" s="6"/>
      <c r="H10" s="6"/>
      <c r="I10" s="6"/>
    </row>
    <row r="11" spans="1:9" ht="15" customHeight="1" x14ac:dyDescent="0.25">
      <c r="A11" s="10"/>
      <c r="B11" s="6"/>
      <c r="C11" s="6"/>
      <c r="D11" s="6"/>
      <c r="E11" s="6"/>
      <c r="F11" s="6"/>
      <c r="G11" s="6"/>
      <c r="H11" s="6"/>
      <c r="I11" s="6"/>
    </row>
    <row r="12" spans="1:9" ht="15" customHeight="1" x14ac:dyDescent="0.25">
      <c r="A12" s="10"/>
      <c r="B12" s="6"/>
      <c r="C12" s="6"/>
      <c r="D12" s="6"/>
      <c r="E12" s="6"/>
      <c r="F12" s="6"/>
      <c r="G12" s="6"/>
      <c r="H12" s="6"/>
      <c r="I12" s="6"/>
    </row>
    <row r="13" spans="1:9" ht="15" customHeight="1" x14ac:dyDescent="0.25">
      <c r="A13" s="10"/>
      <c r="B13" s="6"/>
      <c r="C13" s="6"/>
      <c r="D13" s="6"/>
      <c r="E13" s="6"/>
      <c r="F13" s="6"/>
      <c r="G13" s="6"/>
      <c r="H13" s="6"/>
      <c r="I13" s="6"/>
    </row>
    <row r="14" spans="1:9" ht="15" customHeight="1" x14ac:dyDescent="0.25">
      <c r="A14" s="10"/>
      <c r="B14" s="6"/>
      <c r="C14" s="6"/>
      <c r="D14" s="6"/>
      <c r="E14" s="6"/>
      <c r="F14" s="6"/>
      <c r="G14" s="6"/>
      <c r="H14" s="6"/>
      <c r="I14" s="6"/>
    </row>
    <row r="15" spans="1:9" ht="15" customHeight="1" x14ac:dyDescent="0.25">
      <c r="A15" s="10"/>
      <c r="B15" s="6"/>
      <c r="C15" s="6"/>
      <c r="D15" s="6"/>
      <c r="E15" s="6"/>
      <c r="F15" s="6"/>
      <c r="G15" s="6"/>
      <c r="H15" s="6"/>
      <c r="I15" s="6"/>
    </row>
    <row r="16" spans="1:9" ht="15" customHeight="1" x14ac:dyDescent="0.25">
      <c r="A16" s="10"/>
      <c r="B16" s="6"/>
      <c r="C16" s="6"/>
      <c r="D16" s="6"/>
      <c r="E16" s="6"/>
      <c r="F16" s="6"/>
      <c r="G16" s="6"/>
      <c r="H16" s="6"/>
      <c r="I16" s="6"/>
    </row>
    <row r="17" spans="1:9" ht="15" customHeight="1" x14ac:dyDescent="0.25">
      <c r="A17" s="10"/>
      <c r="B17" s="6"/>
      <c r="C17" s="6"/>
      <c r="D17" s="6"/>
      <c r="E17" s="6"/>
      <c r="F17" s="6"/>
      <c r="G17" s="6"/>
      <c r="H17" s="6"/>
      <c r="I17" s="6"/>
    </row>
    <row r="18" spans="1:9" ht="15" customHeight="1" x14ac:dyDescent="0.25">
      <c r="A18" s="10"/>
      <c r="B18" s="6"/>
      <c r="C18" s="6"/>
      <c r="D18" s="6"/>
      <c r="E18" s="6"/>
      <c r="F18" s="6"/>
      <c r="G18" s="6"/>
      <c r="H18" s="6"/>
      <c r="I18" s="6"/>
    </row>
    <row r="19" spans="1:9" ht="15" customHeight="1" x14ac:dyDescent="0.25">
      <c r="A19" s="10"/>
      <c r="B19" s="6"/>
      <c r="C19" s="6"/>
      <c r="D19" s="6"/>
      <c r="E19" s="6"/>
      <c r="F19" s="6"/>
      <c r="G19" s="6"/>
      <c r="H19" s="6"/>
      <c r="I19" s="6"/>
    </row>
    <row r="20" spans="1:9" ht="15" customHeight="1" x14ac:dyDescent="0.25">
      <c r="A20" s="10"/>
      <c r="B20" s="6"/>
      <c r="C20" s="6"/>
      <c r="D20" s="6"/>
      <c r="E20" s="6"/>
      <c r="F20" s="6"/>
      <c r="G20" s="6"/>
      <c r="H20" s="6"/>
      <c r="I20" s="6"/>
    </row>
    <row r="21" spans="1:9" ht="15" customHeight="1" x14ac:dyDescent="0.25">
      <c r="A21" s="10"/>
      <c r="B21" s="6"/>
      <c r="C21" s="6"/>
      <c r="D21" s="6"/>
      <c r="E21" s="6"/>
      <c r="F21" s="6"/>
      <c r="G21" s="6"/>
      <c r="H21" s="6"/>
      <c r="I21" s="6"/>
    </row>
    <row r="22" spans="1:9" ht="15" customHeight="1" x14ac:dyDescent="0.25">
      <c r="A22" s="10"/>
      <c r="B22" s="6"/>
      <c r="C22" s="6"/>
      <c r="D22" s="6"/>
      <c r="E22" s="6"/>
      <c r="F22" s="6"/>
      <c r="G22" s="6"/>
      <c r="H22" s="6"/>
      <c r="I22" s="6"/>
    </row>
    <row r="23" spans="1:9" ht="15" customHeight="1" x14ac:dyDescent="0.25">
      <c r="A23" s="10"/>
      <c r="B23" s="6"/>
      <c r="C23" s="6"/>
      <c r="D23" s="6"/>
      <c r="E23" s="6"/>
      <c r="F23" s="6"/>
      <c r="G23" s="6"/>
      <c r="H23" s="6"/>
      <c r="I23" s="6"/>
    </row>
    <row r="24" spans="1:9" ht="15" customHeight="1" x14ac:dyDescent="0.25">
      <c r="A24" s="10"/>
      <c r="B24" s="6"/>
      <c r="C24" s="6"/>
      <c r="D24" s="6"/>
      <c r="E24" s="6"/>
      <c r="F24" s="6"/>
      <c r="G24" s="6"/>
      <c r="H24" s="6"/>
      <c r="I24" s="6"/>
    </row>
    <row r="25" spans="1:9" ht="15" customHeight="1" x14ac:dyDescent="0.25">
      <c r="A25" s="10"/>
      <c r="B25" s="6"/>
      <c r="C25" s="6"/>
      <c r="D25" s="6"/>
      <c r="E25" s="6"/>
      <c r="F25" s="6"/>
      <c r="G25" s="6"/>
      <c r="H25" s="6"/>
      <c r="I25" s="6"/>
    </row>
    <row r="26" spans="1:9" ht="15" customHeight="1" x14ac:dyDescent="0.25">
      <c r="A26" s="10"/>
      <c r="B26" s="6"/>
      <c r="C26" s="6"/>
      <c r="D26" s="6"/>
      <c r="E26" s="6"/>
      <c r="F26" s="6"/>
      <c r="G26" s="6"/>
      <c r="H26" s="6"/>
      <c r="I26" s="6"/>
    </row>
    <row r="27" spans="1:9" ht="15" customHeight="1" x14ac:dyDescent="0.25">
      <c r="A27" s="10"/>
      <c r="B27" s="6"/>
      <c r="C27" s="6"/>
      <c r="D27" s="6"/>
      <c r="E27" s="6"/>
      <c r="F27" s="6"/>
      <c r="G27" s="6"/>
      <c r="H27" s="6"/>
      <c r="I27" s="6"/>
    </row>
    <row r="28" spans="1:9" ht="15" customHeight="1" x14ac:dyDescent="0.25">
      <c r="A28" s="10"/>
      <c r="B28" s="6"/>
      <c r="C28" s="6"/>
      <c r="D28" s="6"/>
      <c r="E28" s="6"/>
      <c r="F28" s="6"/>
      <c r="G28" s="6"/>
      <c r="H28" s="6"/>
      <c r="I28" s="6"/>
    </row>
    <row r="29" spans="1:9" ht="15" customHeight="1" x14ac:dyDescent="0.25">
      <c r="A29" s="10"/>
      <c r="B29" s="6"/>
      <c r="C29" s="6"/>
      <c r="D29" s="6"/>
      <c r="E29" s="6"/>
      <c r="F29" s="6"/>
      <c r="G29" s="6"/>
      <c r="H29" s="6"/>
      <c r="I29" s="6"/>
    </row>
    <row r="30" spans="1:9" ht="15" customHeight="1" x14ac:dyDescent="0.25">
      <c r="A30" s="10"/>
      <c r="B30" s="6"/>
      <c r="C30" s="6"/>
      <c r="D30" s="6"/>
      <c r="E30" s="6"/>
      <c r="F30" s="6"/>
      <c r="G30" s="6"/>
      <c r="H30" s="6"/>
      <c r="I30" s="6"/>
    </row>
    <row r="31" spans="1:9" ht="15" customHeight="1" x14ac:dyDescent="0.25">
      <c r="A31" s="10"/>
      <c r="B31" s="6"/>
      <c r="C31" s="6"/>
      <c r="D31" s="6"/>
      <c r="E31" s="6"/>
      <c r="F31" s="6"/>
      <c r="G31" s="6"/>
      <c r="H31" s="6"/>
      <c r="I31" s="6"/>
    </row>
    <row r="32" spans="1:9" ht="15" customHeight="1" x14ac:dyDescent="0.25">
      <c r="A32" s="10"/>
      <c r="B32" s="6"/>
      <c r="C32" s="6"/>
      <c r="D32" s="6"/>
      <c r="E32" s="6"/>
      <c r="F32" s="6"/>
      <c r="G32" s="6"/>
      <c r="H32" s="6"/>
      <c r="I32" s="6"/>
    </row>
    <row r="33" spans="1:9" ht="15" customHeight="1" x14ac:dyDescent="0.25">
      <c r="A33" s="10"/>
      <c r="B33" s="6"/>
      <c r="C33" s="6"/>
      <c r="D33" s="6"/>
      <c r="E33" s="6"/>
      <c r="F33" s="6"/>
      <c r="G33" s="6"/>
      <c r="H33" s="6"/>
      <c r="I33" s="6"/>
    </row>
    <row r="34" spans="1:9" ht="15" customHeight="1" x14ac:dyDescent="0.25">
      <c r="A34" s="10"/>
      <c r="B34" s="6"/>
      <c r="C34" s="6"/>
      <c r="D34" s="6"/>
      <c r="E34" s="6"/>
      <c r="F34" s="6"/>
      <c r="G34" s="6"/>
      <c r="H34" s="6"/>
      <c r="I34" s="6"/>
    </row>
    <row r="35" spans="1:9" ht="15" customHeight="1" x14ac:dyDescent="0.25">
      <c r="A35" s="10"/>
      <c r="B35" s="6"/>
      <c r="C35" s="6"/>
      <c r="D35" s="6"/>
      <c r="E35" s="6"/>
      <c r="F35" s="6"/>
      <c r="G35" s="6"/>
      <c r="H35" s="6"/>
      <c r="I35" s="6"/>
    </row>
    <row r="36" spans="1:9" ht="15" customHeight="1" x14ac:dyDescent="0.25">
      <c r="A36" s="10"/>
      <c r="B36" s="6"/>
      <c r="C36" s="6"/>
      <c r="D36" s="6"/>
      <c r="E36" s="6"/>
      <c r="F36" s="6"/>
      <c r="G36" s="6"/>
      <c r="H36" s="6"/>
      <c r="I36" s="6"/>
    </row>
    <row r="37" spans="1:9" ht="15" customHeight="1" x14ac:dyDescent="0.25">
      <c r="A37" s="10"/>
      <c r="B37" s="6"/>
      <c r="C37" s="6"/>
      <c r="D37" s="6"/>
      <c r="E37" s="6"/>
      <c r="F37" s="6"/>
      <c r="G37" s="6"/>
      <c r="H37" s="6"/>
      <c r="I37" s="6"/>
    </row>
    <row r="38" spans="1:9" ht="15" customHeight="1" x14ac:dyDescent="0.25">
      <c r="A38" s="10"/>
      <c r="B38" s="6"/>
      <c r="C38" s="6"/>
      <c r="D38" s="6"/>
      <c r="E38" s="6"/>
      <c r="F38" s="6"/>
      <c r="G38" s="6"/>
      <c r="H38" s="6"/>
      <c r="I38" s="6"/>
    </row>
    <row r="39" spans="1:9" ht="15" customHeight="1" x14ac:dyDescent="0.25">
      <c r="A39" s="10"/>
      <c r="B39" s="6"/>
      <c r="C39" s="6"/>
      <c r="D39" s="6"/>
      <c r="E39" s="6"/>
      <c r="F39" s="6"/>
      <c r="G39" s="6"/>
      <c r="H39" s="6"/>
      <c r="I39" s="6"/>
    </row>
    <row r="40" spans="1:9" ht="15" customHeight="1" x14ac:dyDescent="0.25">
      <c r="A40" s="10"/>
      <c r="B40" s="6"/>
      <c r="C40" s="6"/>
      <c r="D40" s="6"/>
      <c r="E40" s="6"/>
      <c r="F40" s="6"/>
      <c r="G40" s="6"/>
      <c r="H40" s="6"/>
      <c r="I40" s="6"/>
    </row>
    <row r="41" spans="1:9" ht="15" customHeight="1" x14ac:dyDescent="0.25">
      <c r="A41" s="10"/>
      <c r="B41" s="6"/>
      <c r="C41" s="6"/>
      <c r="D41" s="6"/>
      <c r="E41" s="6"/>
      <c r="F41" s="6"/>
      <c r="G41" s="6"/>
      <c r="H41" s="6"/>
      <c r="I41" s="6"/>
    </row>
    <row r="42" spans="1:9" ht="15" customHeight="1" x14ac:dyDescent="0.25">
      <c r="A42" s="10"/>
      <c r="B42" s="6"/>
      <c r="C42" s="6"/>
      <c r="D42" s="6"/>
      <c r="E42" s="6"/>
      <c r="F42" s="6"/>
      <c r="G42" s="6"/>
      <c r="H42" s="6"/>
      <c r="I42" s="6"/>
    </row>
    <row r="43" spans="1:9" ht="15" customHeight="1" x14ac:dyDescent="0.25">
      <c r="A43" s="10"/>
      <c r="B43" s="6"/>
      <c r="C43" s="6"/>
      <c r="D43" s="6"/>
      <c r="E43" s="6"/>
      <c r="F43" s="6"/>
      <c r="G43" s="6"/>
      <c r="H43" s="6"/>
      <c r="I43" s="6"/>
    </row>
    <row r="44" spans="1:9" ht="15" customHeight="1" x14ac:dyDescent="0.25">
      <c r="A44" s="10"/>
      <c r="B44" s="6"/>
      <c r="C44" s="6"/>
      <c r="D44" s="6"/>
      <c r="E44" s="6"/>
      <c r="F44" s="6"/>
      <c r="G44" s="6"/>
      <c r="H44" s="6"/>
      <c r="I44" s="6"/>
    </row>
    <row r="45" spans="1:9" ht="15" customHeight="1" x14ac:dyDescent="0.25">
      <c r="A45" s="10"/>
      <c r="B45" s="6"/>
      <c r="C45" s="6"/>
      <c r="D45" s="6"/>
      <c r="E45" s="6"/>
      <c r="F45" s="6"/>
      <c r="G45" s="6"/>
      <c r="H45" s="6"/>
      <c r="I45" s="6"/>
    </row>
    <row r="46" spans="1:9" ht="15" customHeight="1" x14ac:dyDescent="0.25">
      <c r="A46" s="10"/>
      <c r="B46" s="6"/>
      <c r="C46" s="6"/>
      <c r="D46" s="6"/>
      <c r="E46" s="6"/>
      <c r="F46" s="6"/>
      <c r="G46" s="6"/>
      <c r="H46" s="6"/>
      <c r="I46" s="6"/>
    </row>
    <row r="47" spans="1:9" ht="15" customHeight="1" x14ac:dyDescent="0.25">
      <c r="A47" s="10"/>
      <c r="B47" s="6"/>
      <c r="C47" s="6"/>
      <c r="D47" s="6"/>
      <c r="E47" s="6"/>
      <c r="F47" s="6"/>
      <c r="G47" s="6"/>
      <c r="H47" s="6"/>
      <c r="I47" s="6"/>
    </row>
    <row r="48" spans="1:9" ht="15" customHeight="1" x14ac:dyDescent="0.25">
      <c r="A48" s="10"/>
      <c r="B48" s="6"/>
      <c r="C48" s="6"/>
      <c r="D48" s="6"/>
      <c r="E48" s="6"/>
      <c r="F48" s="6"/>
      <c r="G48" s="6"/>
      <c r="H48" s="6"/>
      <c r="I48" s="6"/>
    </row>
    <row r="49" spans="1:9" ht="15" customHeight="1" x14ac:dyDescent="0.25">
      <c r="A49" s="10"/>
      <c r="B49" s="6"/>
      <c r="C49" s="6"/>
      <c r="D49" s="6"/>
      <c r="E49" s="6"/>
      <c r="F49" s="6"/>
      <c r="G49" s="6"/>
      <c r="H49" s="6"/>
      <c r="I49" s="6"/>
    </row>
    <row r="50" spans="1:9" ht="15" customHeight="1" x14ac:dyDescent="0.25">
      <c r="A50" s="10"/>
      <c r="B50" s="6"/>
      <c r="C50" s="6"/>
      <c r="D50" s="6"/>
      <c r="E50" s="6"/>
      <c r="F50" s="6"/>
      <c r="G50" s="6"/>
      <c r="H50" s="6"/>
      <c r="I50" s="6"/>
    </row>
    <row r="51" spans="1:9" ht="15" customHeight="1" x14ac:dyDescent="0.25">
      <c r="A51" s="10"/>
      <c r="B51" s="6"/>
      <c r="C51" s="6"/>
      <c r="D51" s="6"/>
      <c r="E51" s="6"/>
      <c r="F51" s="6"/>
      <c r="G51" s="6"/>
      <c r="H51" s="6"/>
      <c r="I51" s="6"/>
    </row>
    <row r="52" spans="1:9" ht="15" customHeight="1" x14ac:dyDescent="0.25">
      <c r="A52" s="10"/>
      <c r="B52" s="6"/>
      <c r="C52" s="6"/>
      <c r="D52" s="6"/>
      <c r="E52" s="6"/>
      <c r="F52" s="6"/>
      <c r="G52" s="6"/>
      <c r="H52" s="6"/>
      <c r="I52" s="6"/>
    </row>
    <row r="53" spans="1:9" ht="15" customHeight="1" x14ac:dyDescent="0.25">
      <c r="A53" s="10"/>
      <c r="B53" s="6"/>
      <c r="C53" s="6"/>
      <c r="D53" s="6"/>
      <c r="E53" s="6"/>
      <c r="F53" s="6"/>
      <c r="G53" s="6"/>
      <c r="H53" s="6"/>
      <c r="I53" s="6"/>
    </row>
    <row r="54" spans="1:9" ht="15" customHeight="1" x14ac:dyDescent="0.25">
      <c r="A54" s="10"/>
      <c r="B54" s="6"/>
      <c r="C54" s="6"/>
      <c r="D54" s="6"/>
      <c r="E54" s="6"/>
      <c r="F54" s="6"/>
      <c r="G54" s="6"/>
      <c r="H54" s="6"/>
      <c r="I54" s="6"/>
    </row>
    <row r="55" spans="1:9" ht="15" customHeight="1" x14ac:dyDescent="0.25">
      <c r="A55" s="10"/>
      <c r="B55" s="6"/>
      <c r="C55" s="6"/>
      <c r="D55" s="6"/>
      <c r="E55" s="6"/>
      <c r="F55" s="6"/>
      <c r="G55" s="6"/>
      <c r="H55" s="6"/>
      <c r="I55" s="6"/>
    </row>
    <row r="56" spans="1:9" ht="15" customHeight="1" x14ac:dyDescent="0.25">
      <c r="A56" s="10"/>
      <c r="B56" s="6"/>
      <c r="C56" s="6"/>
      <c r="D56" s="6"/>
      <c r="E56" s="6"/>
      <c r="F56" s="6"/>
      <c r="G56" s="6"/>
      <c r="H56" s="6"/>
      <c r="I56" s="6"/>
    </row>
    <row r="57" spans="1:9" ht="15" customHeight="1" x14ac:dyDescent="0.25">
      <c r="A57" s="10"/>
      <c r="B57" s="6"/>
      <c r="C57" s="6"/>
      <c r="D57" s="6"/>
      <c r="E57" s="6"/>
      <c r="F57" s="6"/>
      <c r="G57" s="6"/>
      <c r="H57" s="6"/>
      <c r="I57" s="6"/>
    </row>
    <row r="58" spans="1:9" ht="15" customHeight="1" x14ac:dyDescent="0.25">
      <c r="A58" s="10"/>
      <c r="B58" s="6"/>
      <c r="C58" s="6"/>
      <c r="D58" s="6"/>
      <c r="E58" s="6"/>
      <c r="F58" s="6"/>
      <c r="G58" s="6"/>
      <c r="H58" s="6"/>
      <c r="I58" s="6"/>
    </row>
    <row r="59" spans="1:9" ht="15" customHeight="1" x14ac:dyDescent="0.25">
      <c r="A59" s="10"/>
      <c r="B59" s="6"/>
      <c r="C59" s="6"/>
      <c r="D59" s="6"/>
      <c r="E59" s="6"/>
      <c r="F59" s="6"/>
      <c r="G59" s="6"/>
      <c r="H59" s="6"/>
      <c r="I59" s="6"/>
    </row>
    <row r="60" spans="1:9" ht="15" customHeight="1" x14ac:dyDescent="0.25">
      <c r="A60" s="10"/>
      <c r="B60" s="6"/>
      <c r="C60" s="6"/>
      <c r="D60" s="6"/>
      <c r="E60" s="6"/>
      <c r="F60" s="6"/>
      <c r="G60" s="6"/>
      <c r="H60" s="6"/>
      <c r="I60" s="6"/>
    </row>
    <row r="61" spans="1:9" ht="15" customHeight="1" x14ac:dyDescent="0.25">
      <c r="A61" s="10"/>
      <c r="B61" s="6"/>
      <c r="C61" s="6"/>
      <c r="D61" s="6"/>
      <c r="E61" s="6"/>
      <c r="F61" s="6"/>
      <c r="G61" s="6"/>
      <c r="H61" s="6"/>
      <c r="I61" s="6"/>
    </row>
    <row r="62" spans="1:9" ht="15" customHeight="1" x14ac:dyDescent="0.25">
      <c r="A62" s="10"/>
      <c r="B62" s="6"/>
      <c r="C62" s="6"/>
      <c r="D62" s="6"/>
      <c r="E62" s="6"/>
      <c r="F62" s="6"/>
      <c r="G62" s="6"/>
      <c r="H62" s="6"/>
      <c r="I62" s="6"/>
    </row>
    <row r="63" spans="1:9" ht="15" customHeight="1" x14ac:dyDescent="0.25">
      <c r="A63" s="10"/>
      <c r="B63" s="6"/>
      <c r="C63" s="6"/>
      <c r="D63" s="6"/>
      <c r="E63" s="6"/>
      <c r="F63" s="6"/>
      <c r="G63" s="6"/>
      <c r="H63" s="6"/>
      <c r="I63" s="6"/>
    </row>
    <row r="64" spans="1:9" ht="15" customHeight="1" x14ac:dyDescent="0.25">
      <c r="A64" s="10"/>
      <c r="B64" s="6"/>
      <c r="C64" s="6"/>
      <c r="D64" s="6"/>
      <c r="E64" s="6"/>
      <c r="F64" s="6"/>
      <c r="G64" s="6"/>
      <c r="H64" s="6"/>
      <c r="I64" s="6"/>
    </row>
    <row r="65" spans="1:9" ht="15" customHeight="1" x14ac:dyDescent="0.25">
      <c r="A65" s="10"/>
      <c r="B65" s="6"/>
      <c r="C65" s="6"/>
      <c r="D65" s="6"/>
      <c r="E65" s="6"/>
      <c r="F65" s="6"/>
      <c r="G65" s="6"/>
      <c r="H65" s="6"/>
      <c r="I65" s="6"/>
    </row>
    <row r="66" spans="1:9" ht="15" customHeight="1" x14ac:dyDescent="0.25">
      <c r="A66" s="10"/>
      <c r="B66" s="6"/>
      <c r="C66" s="6"/>
      <c r="D66" s="6"/>
      <c r="E66" s="6"/>
      <c r="F66" s="6"/>
      <c r="G66" s="6"/>
      <c r="H66" s="6"/>
      <c r="I66" s="6"/>
    </row>
    <row r="67" spans="1:9" ht="15" customHeight="1" x14ac:dyDescent="0.25">
      <c r="A67" s="10"/>
      <c r="B67" s="6"/>
      <c r="C67" s="6"/>
      <c r="D67" s="6"/>
      <c r="E67" s="6"/>
      <c r="F67" s="6"/>
      <c r="G67" s="6"/>
      <c r="H67" s="6"/>
      <c r="I67" s="6"/>
    </row>
    <row r="68" spans="1:9" ht="15" customHeight="1" x14ac:dyDescent="0.25">
      <c r="A68" s="10"/>
      <c r="B68" s="6"/>
      <c r="C68" s="6"/>
      <c r="D68" s="6"/>
      <c r="E68" s="6"/>
      <c r="F68" s="6"/>
      <c r="G68" s="6"/>
      <c r="H68" s="6"/>
      <c r="I68" s="6"/>
    </row>
    <row r="69" spans="1:9" ht="15" customHeight="1" x14ac:dyDescent="0.25">
      <c r="A69" s="10"/>
      <c r="B69" s="6"/>
      <c r="C69" s="6"/>
      <c r="D69" s="6"/>
      <c r="E69" s="6"/>
      <c r="F69" s="6"/>
      <c r="G69" s="6"/>
      <c r="H69" s="6"/>
      <c r="I69" s="6"/>
    </row>
    <row r="70" spans="1:9" ht="15" customHeight="1" x14ac:dyDescent="0.25">
      <c r="A70" s="10"/>
      <c r="B70" s="6"/>
      <c r="C70" s="6"/>
      <c r="D70" s="6"/>
      <c r="E70" s="6"/>
      <c r="F70" s="6"/>
      <c r="G70" s="6"/>
      <c r="H70" s="6"/>
      <c r="I70" s="6"/>
    </row>
    <row r="71" spans="1:9" ht="15" customHeight="1" x14ac:dyDescent="0.25">
      <c r="A71" s="10"/>
      <c r="B71" s="6"/>
      <c r="C71" s="6"/>
      <c r="D71" s="6"/>
      <c r="E71" s="6"/>
      <c r="F71" s="6"/>
      <c r="G71" s="6"/>
      <c r="H71" s="6"/>
      <c r="I71" s="6"/>
    </row>
    <row r="72" spans="1:9" ht="15" customHeight="1" x14ac:dyDescent="0.25">
      <c r="A72" s="10"/>
      <c r="B72" s="6"/>
      <c r="C72" s="6"/>
      <c r="D72" s="6"/>
      <c r="E72" s="6"/>
      <c r="F72" s="6"/>
      <c r="G72" s="6"/>
      <c r="H72" s="6"/>
      <c r="I72" s="6"/>
    </row>
    <row r="73" spans="1:9" ht="15" customHeight="1" x14ac:dyDescent="0.25">
      <c r="A73" s="10"/>
      <c r="B73" s="6"/>
      <c r="C73" s="6"/>
      <c r="D73" s="6"/>
      <c r="E73" s="6"/>
      <c r="F73" s="6"/>
      <c r="G73" s="6"/>
      <c r="H73" s="6"/>
      <c r="I73" s="6"/>
    </row>
    <row r="74" spans="1:9" ht="15" customHeight="1" x14ac:dyDescent="0.25">
      <c r="A74" s="10"/>
      <c r="B74" s="6"/>
      <c r="C74" s="6"/>
      <c r="D74" s="6"/>
      <c r="E74" s="6"/>
      <c r="F74" s="6"/>
      <c r="G74" s="6"/>
      <c r="H74" s="6"/>
      <c r="I74" s="6"/>
    </row>
    <row r="75" spans="1:9" ht="15" customHeight="1" x14ac:dyDescent="0.25">
      <c r="A75" s="10"/>
      <c r="B75" s="6"/>
      <c r="C75" s="6"/>
      <c r="D75" s="6"/>
      <c r="E75" s="6"/>
      <c r="F75" s="6"/>
      <c r="G75" s="6"/>
      <c r="H75" s="6"/>
      <c r="I75" s="6"/>
    </row>
    <row r="76" spans="1:9" ht="15" customHeight="1" x14ac:dyDescent="0.25">
      <c r="A76" s="10"/>
      <c r="B76" s="6"/>
      <c r="C76" s="6"/>
      <c r="D76" s="6"/>
      <c r="E76" s="6"/>
      <c r="F76" s="6"/>
      <c r="G76" s="6"/>
      <c r="H76" s="6"/>
      <c r="I76" s="6"/>
    </row>
    <row r="77" spans="1:9" ht="15" customHeight="1" x14ac:dyDescent="0.25">
      <c r="A77" s="10"/>
      <c r="B77" s="6"/>
      <c r="C77" s="6"/>
      <c r="D77" s="6"/>
      <c r="E77" s="6"/>
      <c r="F77" s="6"/>
      <c r="G77" s="6"/>
      <c r="H77" s="6"/>
      <c r="I77" s="6"/>
    </row>
    <row r="78" spans="1:9" ht="15" customHeight="1" x14ac:dyDescent="0.25">
      <c r="A78" s="10"/>
      <c r="B78" s="6"/>
      <c r="C78" s="6"/>
      <c r="D78" s="6"/>
      <c r="E78" s="6"/>
      <c r="F78" s="6"/>
      <c r="G78" s="6"/>
      <c r="H78" s="6"/>
      <c r="I78" s="6"/>
    </row>
    <row r="79" spans="1:9" ht="15" customHeight="1" x14ac:dyDescent="0.25">
      <c r="A79" s="10"/>
      <c r="B79" s="6"/>
      <c r="C79" s="6"/>
      <c r="D79" s="6"/>
      <c r="E79" s="6"/>
      <c r="F79" s="6"/>
      <c r="G79" s="6"/>
      <c r="H79" s="6"/>
      <c r="I79" s="6"/>
    </row>
    <row r="80" spans="1:9" ht="15" customHeight="1" x14ac:dyDescent="0.25">
      <c r="A80" s="10"/>
      <c r="B80" s="6"/>
      <c r="C80" s="6"/>
      <c r="D80" s="6"/>
      <c r="E80" s="6"/>
      <c r="F80" s="6"/>
      <c r="G80" s="6"/>
      <c r="H80" s="6"/>
      <c r="I80" s="6"/>
    </row>
    <row r="81" spans="1:9" ht="15" customHeight="1" x14ac:dyDescent="0.25">
      <c r="A81" s="10"/>
      <c r="B81" s="6"/>
      <c r="C81" s="6"/>
      <c r="D81" s="6"/>
      <c r="E81" s="6"/>
      <c r="F81" s="6"/>
      <c r="G81" s="6"/>
      <c r="H81" s="6"/>
      <c r="I81" s="6"/>
    </row>
    <row r="82" spans="1:9" ht="15" customHeight="1" x14ac:dyDescent="0.25">
      <c r="A82" s="10"/>
      <c r="B82" s="6"/>
      <c r="C82" s="6"/>
      <c r="D82" s="6"/>
      <c r="E82" s="6"/>
      <c r="F82" s="6"/>
      <c r="G82" s="6"/>
      <c r="H82" s="6"/>
      <c r="I82" s="6"/>
    </row>
    <row r="83" spans="1:9" ht="15" customHeight="1" x14ac:dyDescent="0.25">
      <c r="A83" s="10"/>
      <c r="B83" s="6"/>
      <c r="C83" s="6"/>
      <c r="D83" s="6"/>
      <c r="E83" s="6"/>
      <c r="F83" s="6"/>
      <c r="G83" s="6"/>
      <c r="H83" s="6"/>
      <c r="I83" s="6"/>
    </row>
    <row r="84" spans="1:9" ht="15" customHeight="1" x14ac:dyDescent="0.25">
      <c r="A84" s="10"/>
      <c r="B84" s="6"/>
      <c r="C84" s="6"/>
      <c r="D84" s="6"/>
      <c r="E84" s="6"/>
      <c r="F84" s="6"/>
      <c r="G84" s="6"/>
      <c r="H84" s="6"/>
      <c r="I84" s="6"/>
    </row>
    <row r="85" spans="1:9" ht="15" customHeight="1" x14ac:dyDescent="0.25">
      <c r="A85" s="10"/>
      <c r="B85" s="6"/>
      <c r="C85" s="6"/>
      <c r="D85" s="6"/>
      <c r="E85" s="6"/>
      <c r="F85" s="6"/>
      <c r="G85" s="6"/>
      <c r="H85" s="6"/>
      <c r="I85" s="6"/>
    </row>
    <row r="86" spans="1:9" ht="15" customHeight="1" x14ac:dyDescent="0.25">
      <c r="A86" s="10"/>
      <c r="B86" s="6"/>
      <c r="C86" s="6"/>
      <c r="D86" s="6"/>
      <c r="E86" s="6"/>
      <c r="F86" s="6"/>
      <c r="G86" s="6"/>
      <c r="H86" s="6"/>
      <c r="I86" s="6"/>
    </row>
    <row r="87" spans="1:9" ht="15" customHeight="1" x14ac:dyDescent="0.25">
      <c r="A87" s="10"/>
      <c r="B87" s="6"/>
      <c r="C87" s="6"/>
      <c r="D87" s="6"/>
      <c r="E87" s="6"/>
      <c r="F87" s="6"/>
      <c r="G87" s="6"/>
      <c r="H87" s="6"/>
      <c r="I87" s="6"/>
    </row>
    <row r="88" spans="1:9" ht="15" customHeight="1" x14ac:dyDescent="0.25">
      <c r="A88" s="10"/>
      <c r="B88" s="6"/>
      <c r="C88" s="6"/>
      <c r="D88" s="6"/>
      <c r="E88" s="6"/>
      <c r="F88" s="6"/>
      <c r="G88" s="6"/>
      <c r="H88" s="6"/>
      <c r="I88" s="6"/>
    </row>
    <row r="89" spans="1:9" ht="15" customHeight="1" x14ac:dyDescent="0.25">
      <c r="A89" s="10"/>
      <c r="B89" s="6"/>
      <c r="C89" s="6"/>
      <c r="D89" s="6"/>
      <c r="E89" s="6"/>
      <c r="F89" s="6"/>
      <c r="G89" s="6"/>
      <c r="H89" s="6"/>
      <c r="I89" s="6"/>
    </row>
    <row r="90" spans="1:9" ht="15" customHeight="1" x14ac:dyDescent="0.25">
      <c r="A90" s="10"/>
      <c r="B90" s="6"/>
      <c r="C90" s="6"/>
      <c r="D90" s="6"/>
      <c r="E90" s="6"/>
      <c r="F90" s="6"/>
      <c r="G90" s="6"/>
      <c r="H90" s="6"/>
      <c r="I90" s="6"/>
    </row>
    <row r="91" spans="1:9" ht="15" customHeight="1" x14ac:dyDescent="0.25">
      <c r="A91" s="10"/>
      <c r="B91" s="6"/>
      <c r="C91" s="6"/>
      <c r="D91" s="6"/>
      <c r="E91" s="6"/>
      <c r="F91" s="6"/>
      <c r="G91" s="6"/>
      <c r="H91" s="6"/>
      <c r="I91" s="6"/>
    </row>
    <row r="92" spans="1:9" ht="15" customHeight="1" x14ac:dyDescent="0.25">
      <c r="A92" s="10"/>
      <c r="B92" s="6"/>
      <c r="C92" s="6"/>
      <c r="D92" s="6"/>
      <c r="E92" s="6"/>
      <c r="F92" s="6"/>
      <c r="G92" s="6"/>
      <c r="H92" s="6"/>
      <c r="I92" s="6"/>
    </row>
    <row r="93" spans="1:9" ht="15" customHeight="1" x14ac:dyDescent="0.25">
      <c r="A93" s="10"/>
      <c r="B93" s="6"/>
      <c r="C93" s="6"/>
      <c r="D93" s="6"/>
      <c r="E93" s="6"/>
      <c r="F93" s="6"/>
      <c r="G93" s="6"/>
      <c r="H93" s="6"/>
      <c r="I93" s="6"/>
    </row>
    <row r="94" spans="1:9" ht="15" customHeight="1" x14ac:dyDescent="0.25">
      <c r="A94" s="10"/>
      <c r="B94" s="6"/>
      <c r="C94" s="6"/>
      <c r="D94" s="6"/>
      <c r="E94" s="6"/>
      <c r="F94" s="6"/>
      <c r="G94" s="6"/>
      <c r="H94" s="6"/>
      <c r="I94" s="6"/>
    </row>
    <row r="95" spans="1:9" ht="15" customHeight="1" x14ac:dyDescent="0.25">
      <c r="A95" s="10"/>
      <c r="B95" s="6"/>
      <c r="C95" s="6"/>
      <c r="D95" s="6"/>
      <c r="E95" s="6"/>
      <c r="F95" s="6"/>
      <c r="G95" s="6"/>
      <c r="H95" s="6"/>
      <c r="I95" s="6"/>
    </row>
    <row r="96" spans="1:9" ht="15" customHeight="1" x14ac:dyDescent="0.25">
      <c r="A96" s="10"/>
      <c r="B96" s="6"/>
      <c r="C96" s="6"/>
      <c r="D96" s="6"/>
      <c r="E96" s="6"/>
      <c r="F96" s="6"/>
      <c r="G96" s="6"/>
      <c r="H96" s="6"/>
      <c r="I96" s="6"/>
    </row>
    <row r="97" spans="1:9" ht="15" customHeight="1" x14ac:dyDescent="0.25">
      <c r="A97" s="10"/>
      <c r="B97" s="6"/>
      <c r="C97" s="6"/>
      <c r="D97" s="6"/>
      <c r="E97" s="6"/>
      <c r="F97" s="6"/>
      <c r="G97" s="6"/>
      <c r="H97" s="6"/>
      <c r="I97" s="6"/>
    </row>
    <row r="98" spans="1:9" ht="15" customHeight="1" x14ac:dyDescent="0.25">
      <c r="A98" s="10"/>
      <c r="B98" s="6"/>
      <c r="C98" s="6"/>
      <c r="D98" s="6"/>
      <c r="E98" s="6"/>
      <c r="F98" s="6"/>
      <c r="G98" s="6"/>
      <c r="H98" s="6"/>
      <c r="I98" s="6"/>
    </row>
    <row r="99" spans="1:9" ht="15" customHeight="1" x14ac:dyDescent="0.25">
      <c r="A99" s="10"/>
      <c r="B99" s="6"/>
      <c r="C99" s="6"/>
      <c r="D99" s="6"/>
      <c r="E99" s="6"/>
      <c r="F99" s="6"/>
      <c r="G99" s="6"/>
      <c r="H99" s="6"/>
      <c r="I99" s="6"/>
    </row>
    <row r="100" spans="1:9" ht="15" customHeight="1" x14ac:dyDescent="0.25">
      <c r="A100" s="10"/>
      <c r="B100" s="6"/>
      <c r="C100" s="6"/>
      <c r="D100" s="6"/>
      <c r="E100" s="6"/>
      <c r="F100" s="6"/>
      <c r="G100" s="6"/>
      <c r="H100" s="6"/>
      <c r="I100" s="6"/>
    </row>
    <row r="101" spans="1:9" ht="15" customHeight="1" x14ac:dyDescent="0.25">
      <c r="A101" s="10"/>
      <c r="B101" s="6"/>
      <c r="C101" s="6"/>
      <c r="D101" s="6"/>
      <c r="E101" s="6"/>
      <c r="F101" s="6"/>
      <c r="G101" s="6"/>
      <c r="H101" s="6"/>
      <c r="I101" s="6"/>
    </row>
  </sheetData>
  <mergeCells count="1">
    <mergeCell ref="A1:I1"/>
  </mergeCells>
  <dataValidations count="2">
    <dataValidation type="list" sqref="B3:B4 B6:B101" xr:uid="{00000000-0002-0000-0400-000000000000}">
      <formula1>"Unit 1 / Phase 1,Phase 2,Phase 3,Final"</formula1>
      <formula2>0</formula2>
    </dataValidation>
    <dataValidation type="list" sqref="C3:C4 C6:C101" xr:uid="{00000000-0002-0000-0400-000001000000}">
      <formula1>"Meeting,Telephone Call,Online Meeting,Email,Site Visit,Other"</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A7" zoomScaleNormal="100" workbookViewId="0">
      <selection activeCell="E8" sqref="E8"/>
    </sheetView>
  </sheetViews>
  <sheetFormatPr defaultColWidth="8.7109375" defaultRowHeight="15" x14ac:dyDescent="0.25"/>
  <cols>
    <col min="1" max="1" width="15" style="14" customWidth="1"/>
    <col min="2" max="2" width="19" style="14" customWidth="1"/>
    <col min="3" max="4" width="34" style="14" customWidth="1"/>
    <col min="5" max="5" width="38" style="14" customWidth="1"/>
    <col min="6" max="6" width="24" style="14" customWidth="1"/>
    <col min="7" max="8" width="14" style="14" customWidth="1"/>
  </cols>
  <sheetData>
    <row r="1" spans="1:8" ht="19.5" customHeight="1" x14ac:dyDescent="0.25">
      <c r="A1" s="16" t="s">
        <v>345</v>
      </c>
      <c r="B1" s="17"/>
      <c r="C1" s="17"/>
      <c r="D1" s="17"/>
      <c r="E1" s="17"/>
      <c r="F1" s="17"/>
      <c r="G1" s="17"/>
      <c r="H1" s="17"/>
    </row>
    <row r="2" spans="1:8" ht="15" customHeight="1" x14ac:dyDescent="0.25">
      <c r="A2" s="15" t="s">
        <v>346</v>
      </c>
      <c r="B2" s="15" t="s">
        <v>77</v>
      </c>
      <c r="C2" s="15" t="s">
        <v>347</v>
      </c>
      <c r="D2" s="15" t="s">
        <v>348</v>
      </c>
      <c r="E2" s="15" t="s">
        <v>349</v>
      </c>
      <c r="F2" s="15" t="s">
        <v>350</v>
      </c>
      <c r="G2" s="15" t="s">
        <v>351</v>
      </c>
      <c r="H2" s="15" t="s">
        <v>83</v>
      </c>
    </row>
    <row r="3" spans="1:8" ht="45" customHeight="1" x14ac:dyDescent="0.25">
      <c r="A3" s="10" t="s">
        <v>93</v>
      </c>
      <c r="B3" s="6" t="s">
        <v>32</v>
      </c>
      <c r="C3" s="6" t="s">
        <v>352</v>
      </c>
      <c r="D3" s="6" t="s">
        <v>353</v>
      </c>
      <c r="E3" s="6" t="s">
        <v>354</v>
      </c>
      <c r="F3" s="6" t="s">
        <v>92</v>
      </c>
      <c r="G3" s="12" t="s">
        <v>94</v>
      </c>
      <c r="H3" s="6" t="s">
        <v>355</v>
      </c>
    </row>
    <row r="4" spans="1:8" ht="60" customHeight="1" x14ac:dyDescent="0.25">
      <c r="A4" s="10" t="s">
        <v>93</v>
      </c>
      <c r="B4" s="6" t="s">
        <v>32</v>
      </c>
      <c r="C4" s="6" t="s">
        <v>356</v>
      </c>
      <c r="D4" s="6" t="s">
        <v>357</v>
      </c>
      <c r="E4" s="6" t="s">
        <v>358</v>
      </c>
      <c r="F4" s="6" t="s">
        <v>108</v>
      </c>
      <c r="G4" s="12" t="s">
        <v>94</v>
      </c>
      <c r="H4" s="6" t="s">
        <v>355</v>
      </c>
    </row>
    <row r="5" spans="1:8" ht="28.5" customHeight="1" x14ac:dyDescent="0.25">
      <c r="A5" s="12" t="s">
        <v>93</v>
      </c>
      <c r="B5" s="12" t="s">
        <v>32</v>
      </c>
      <c r="C5" s="12" t="s">
        <v>359</v>
      </c>
      <c r="D5" s="12" t="s">
        <v>360</v>
      </c>
      <c r="E5" s="12" t="s">
        <v>361</v>
      </c>
      <c r="F5" s="12" t="s">
        <v>112</v>
      </c>
      <c r="G5" s="12" t="s">
        <v>94</v>
      </c>
      <c r="H5" s="6" t="s">
        <v>355</v>
      </c>
    </row>
    <row r="6" spans="1:8" ht="68.650000000000006" customHeight="1" x14ac:dyDescent="0.25">
      <c r="A6" s="10" t="s">
        <v>162</v>
      </c>
      <c r="B6" s="6" t="s">
        <v>34</v>
      </c>
      <c r="C6" s="6" t="s">
        <v>362</v>
      </c>
      <c r="D6" s="6" t="s">
        <v>363</v>
      </c>
      <c r="E6" s="6" t="s">
        <v>364</v>
      </c>
      <c r="F6" s="6" t="s">
        <v>117</v>
      </c>
      <c r="G6" s="10" t="s">
        <v>145</v>
      </c>
      <c r="H6" s="6" t="s">
        <v>355</v>
      </c>
    </row>
    <row r="7" spans="1:8" ht="111" customHeight="1" x14ac:dyDescent="0.25">
      <c r="A7" s="10" t="s">
        <v>137</v>
      </c>
      <c r="B7" s="6" t="s">
        <v>34</v>
      </c>
      <c r="C7" s="6" t="s">
        <v>365</v>
      </c>
      <c r="D7" s="6" t="s">
        <v>366</v>
      </c>
      <c r="E7" s="6" t="s">
        <v>367</v>
      </c>
      <c r="F7" s="6" t="s">
        <v>117</v>
      </c>
      <c r="G7" s="10" t="s">
        <v>172</v>
      </c>
      <c r="H7" s="6" t="s">
        <v>355</v>
      </c>
    </row>
    <row r="8" spans="1:8" ht="111" customHeight="1" x14ac:dyDescent="0.25">
      <c r="A8" s="10" t="s">
        <v>181</v>
      </c>
      <c r="B8" s="6" t="s">
        <v>36</v>
      </c>
      <c r="C8" s="6" t="s">
        <v>368</v>
      </c>
      <c r="D8" s="6" t="s">
        <v>369</v>
      </c>
      <c r="E8" s="6" t="s">
        <v>370</v>
      </c>
      <c r="F8" s="6" t="s">
        <v>112</v>
      </c>
      <c r="G8" s="10" t="s">
        <v>222</v>
      </c>
      <c r="H8" s="6" t="s">
        <v>355</v>
      </c>
    </row>
    <row r="9" spans="1:8" ht="150" customHeight="1" x14ac:dyDescent="0.25">
      <c r="A9" s="10" t="s">
        <v>190</v>
      </c>
      <c r="B9" s="6" t="s">
        <v>36</v>
      </c>
      <c r="C9" s="6" t="s">
        <v>371</v>
      </c>
      <c r="D9" s="6" t="s">
        <v>372</v>
      </c>
      <c r="E9" s="6" t="s">
        <v>373</v>
      </c>
      <c r="F9" s="6" t="s">
        <v>108</v>
      </c>
      <c r="G9" s="10" t="s">
        <v>222</v>
      </c>
      <c r="H9" s="6" t="s">
        <v>355</v>
      </c>
    </row>
    <row r="10" spans="1:8" ht="125.1" customHeight="1" x14ac:dyDescent="0.25">
      <c r="A10" s="10" t="s">
        <v>374</v>
      </c>
      <c r="B10" s="6" t="s">
        <v>36</v>
      </c>
      <c r="C10" s="6" t="s">
        <v>375</v>
      </c>
      <c r="D10" s="6" t="s">
        <v>376</v>
      </c>
      <c r="E10" s="6" t="s">
        <v>377</v>
      </c>
      <c r="F10" s="6" t="s">
        <v>99</v>
      </c>
      <c r="G10" s="10" t="s">
        <v>222</v>
      </c>
      <c r="H10" s="6" t="s">
        <v>355</v>
      </c>
    </row>
    <row r="11" spans="1:8" ht="125.1" customHeight="1" x14ac:dyDescent="0.25">
      <c r="A11" s="10" t="s">
        <v>374</v>
      </c>
      <c r="B11" s="6" t="s">
        <v>36</v>
      </c>
      <c r="C11" s="6" t="s">
        <v>378</v>
      </c>
      <c r="D11" s="6" t="s">
        <v>379</v>
      </c>
      <c r="E11" s="6" t="s">
        <v>380</v>
      </c>
      <c r="F11" s="6" t="s">
        <v>99</v>
      </c>
      <c r="G11" s="10" t="s">
        <v>222</v>
      </c>
      <c r="H11" s="6" t="s">
        <v>355</v>
      </c>
    </row>
    <row r="12" spans="1:8" ht="125.1" customHeight="1" x14ac:dyDescent="0.25">
      <c r="A12" s="10" t="s">
        <v>381</v>
      </c>
      <c r="B12" s="6" t="s">
        <v>36</v>
      </c>
      <c r="C12" s="6" t="s">
        <v>382</v>
      </c>
      <c r="D12" s="6" t="s">
        <v>383</v>
      </c>
      <c r="E12" s="6" t="s">
        <v>384</v>
      </c>
      <c r="F12" s="6" t="s">
        <v>92</v>
      </c>
      <c r="G12" s="10" t="s">
        <v>385</v>
      </c>
      <c r="H12" s="6" t="s">
        <v>50</v>
      </c>
    </row>
    <row r="13" spans="1:8" ht="15" customHeight="1" x14ac:dyDescent="0.25">
      <c r="A13" s="10"/>
      <c r="B13" s="6"/>
      <c r="C13" s="6"/>
      <c r="D13" s="6"/>
      <c r="E13" s="6"/>
      <c r="F13" s="6"/>
      <c r="G13" s="10"/>
      <c r="H13" s="6"/>
    </row>
    <row r="14" spans="1:8" ht="15" customHeight="1" x14ac:dyDescent="0.25">
      <c r="A14" s="10"/>
      <c r="B14" s="6"/>
      <c r="C14" s="6"/>
      <c r="D14" s="6"/>
      <c r="E14" s="6"/>
      <c r="F14" s="6"/>
      <c r="G14" s="10"/>
      <c r="H14" s="6"/>
    </row>
    <row r="15" spans="1:8" ht="15" customHeight="1" x14ac:dyDescent="0.25">
      <c r="A15" s="10"/>
      <c r="B15" s="6"/>
      <c r="C15" s="6"/>
      <c r="D15" s="6"/>
      <c r="E15" s="6"/>
      <c r="F15" s="6"/>
      <c r="G15" s="10"/>
      <c r="H15" s="6"/>
    </row>
    <row r="16" spans="1:8" ht="15" customHeight="1" x14ac:dyDescent="0.25">
      <c r="A16" s="10"/>
      <c r="B16" s="6"/>
      <c r="C16" s="6"/>
      <c r="D16" s="6"/>
      <c r="E16" s="6"/>
      <c r="F16" s="6"/>
      <c r="G16" s="10"/>
      <c r="H16" s="6"/>
    </row>
    <row r="17" spans="1:8" ht="15" customHeight="1" x14ac:dyDescent="0.25">
      <c r="A17" s="10"/>
      <c r="B17" s="6"/>
      <c r="C17" s="6"/>
      <c r="D17" s="6"/>
      <c r="E17" s="6"/>
      <c r="F17" s="6"/>
      <c r="G17" s="10"/>
      <c r="H17" s="6"/>
    </row>
    <row r="18" spans="1:8" ht="15" customHeight="1" x14ac:dyDescent="0.25">
      <c r="A18" s="10"/>
      <c r="B18" s="6"/>
      <c r="C18" s="6"/>
      <c r="D18" s="6"/>
      <c r="E18" s="6"/>
      <c r="F18" s="6"/>
      <c r="G18" s="10"/>
      <c r="H18" s="6"/>
    </row>
    <row r="19" spans="1:8" ht="15" customHeight="1" x14ac:dyDescent="0.25">
      <c r="A19" s="10"/>
      <c r="B19" s="6"/>
      <c r="C19" s="6"/>
      <c r="D19" s="6"/>
      <c r="E19" s="6"/>
      <c r="F19" s="6"/>
      <c r="G19" s="10"/>
      <c r="H19" s="6"/>
    </row>
    <row r="20" spans="1:8" ht="15" customHeight="1" x14ac:dyDescent="0.25">
      <c r="A20" s="10"/>
      <c r="B20" s="6"/>
      <c r="C20" s="6"/>
      <c r="D20" s="6"/>
      <c r="E20" s="6"/>
      <c r="F20" s="6"/>
      <c r="G20" s="10"/>
      <c r="H20" s="6"/>
    </row>
    <row r="21" spans="1:8" ht="15" customHeight="1" x14ac:dyDescent="0.25">
      <c r="A21" s="10"/>
      <c r="B21" s="6"/>
      <c r="C21" s="6"/>
      <c r="D21" s="6"/>
      <c r="E21" s="6"/>
      <c r="F21" s="6"/>
      <c r="G21" s="10"/>
      <c r="H21" s="6"/>
    </row>
    <row r="22" spans="1:8" ht="15" customHeight="1" x14ac:dyDescent="0.25">
      <c r="A22" s="10"/>
      <c r="B22" s="6"/>
      <c r="C22" s="6"/>
      <c r="D22" s="6"/>
      <c r="E22" s="6"/>
      <c r="F22" s="6"/>
      <c r="G22" s="10"/>
      <c r="H22" s="6"/>
    </row>
    <row r="23" spans="1:8" ht="15" customHeight="1" x14ac:dyDescent="0.25">
      <c r="A23" s="10"/>
      <c r="B23" s="6"/>
      <c r="C23" s="6"/>
      <c r="D23" s="6"/>
      <c r="E23" s="6"/>
      <c r="F23" s="6"/>
      <c r="G23" s="10"/>
      <c r="H23" s="6"/>
    </row>
    <row r="24" spans="1:8" ht="15" customHeight="1" x14ac:dyDescent="0.25">
      <c r="A24" s="10"/>
      <c r="B24" s="6"/>
      <c r="C24" s="6"/>
      <c r="D24" s="6"/>
      <c r="E24" s="6"/>
      <c r="F24" s="6"/>
      <c r="G24" s="10"/>
      <c r="H24" s="6"/>
    </row>
    <row r="25" spans="1:8" ht="15" customHeight="1" x14ac:dyDescent="0.25">
      <c r="A25" s="10"/>
      <c r="B25" s="6"/>
      <c r="C25" s="6"/>
      <c r="D25" s="6"/>
      <c r="E25" s="6"/>
      <c r="F25" s="6"/>
      <c r="G25" s="10"/>
      <c r="H25" s="6"/>
    </row>
    <row r="26" spans="1:8" ht="15" customHeight="1" x14ac:dyDescent="0.25">
      <c r="A26" s="10"/>
      <c r="B26" s="6"/>
      <c r="C26" s="6"/>
      <c r="D26" s="6"/>
      <c r="E26" s="6"/>
      <c r="F26" s="6"/>
      <c r="G26" s="10"/>
      <c r="H26" s="6"/>
    </row>
    <row r="27" spans="1:8" ht="15" customHeight="1" x14ac:dyDescent="0.25">
      <c r="A27" s="10"/>
      <c r="B27" s="6"/>
      <c r="C27" s="6"/>
      <c r="D27" s="6"/>
      <c r="E27" s="6"/>
      <c r="F27" s="6"/>
      <c r="G27" s="10"/>
      <c r="H27" s="6"/>
    </row>
    <row r="28" spans="1:8" ht="15" customHeight="1" x14ac:dyDescent="0.25">
      <c r="A28" s="10"/>
      <c r="B28" s="6"/>
      <c r="C28" s="6"/>
      <c r="D28" s="6"/>
      <c r="E28" s="6"/>
      <c r="F28" s="6"/>
      <c r="G28" s="10"/>
      <c r="H28" s="6"/>
    </row>
    <row r="29" spans="1:8" ht="15" customHeight="1" x14ac:dyDescent="0.25">
      <c r="A29" s="10"/>
      <c r="B29" s="6"/>
      <c r="C29" s="6"/>
      <c r="D29" s="6"/>
      <c r="E29" s="6"/>
      <c r="F29" s="6"/>
      <c r="G29" s="10"/>
      <c r="H29" s="6"/>
    </row>
    <row r="30" spans="1:8" ht="15" customHeight="1" x14ac:dyDescent="0.25">
      <c r="A30" s="10"/>
      <c r="B30" s="6"/>
      <c r="C30" s="6"/>
      <c r="D30" s="6"/>
      <c r="E30" s="6"/>
      <c r="F30" s="6"/>
      <c r="G30" s="10"/>
      <c r="H30" s="6"/>
    </row>
    <row r="31" spans="1:8" ht="15" customHeight="1" x14ac:dyDescent="0.25">
      <c r="A31" s="10"/>
      <c r="B31" s="6"/>
      <c r="C31" s="6"/>
      <c r="D31" s="6"/>
      <c r="E31" s="6"/>
      <c r="F31" s="6"/>
      <c r="G31" s="10"/>
      <c r="H31" s="6"/>
    </row>
    <row r="32" spans="1:8" ht="15" customHeight="1" x14ac:dyDescent="0.25">
      <c r="A32" s="10"/>
      <c r="B32" s="6"/>
      <c r="C32" s="6"/>
      <c r="D32" s="6"/>
      <c r="E32" s="6"/>
      <c r="F32" s="6"/>
      <c r="G32" s="10"/>
      <c r="H32" s="6"/>
    </row>
    <row r="33" spans="1:8" ht="15" customHeight="1" x14ac:dyDescent="0.25">
      <c r="A33" s="10"/>
      <c r="B33" s="6"/>
      <c r="C33" s="6"/>
      <c r="D33" s="6"/>
      <c r="E33" s="6"/>
      <c r="F33" s="6"/>
      <c r="G33" s="10"/>
      <c r="H33" s="6"/>
    </row>
    <row r="34" spans="1:8" ht="15" customHeight="1" x14ac:dyDescent="0.25">
      <c r="A34" s="10"/>
      <c r="B34" s="6"/>
      <c r="C34" s="6"/>
      <c r="D34" s="6"/>
      <c r="E34" s="6"/>
      <c r="F34" s="6"/>
      <c r="G34" s="10"/>
      <c r="H34" s="6"/>
    </row>
    <row r="35" spans="1:8" ht="15" customHeight="1" x14ac:dyDescent="0.25">
      <c r="A35" s="10"/>
      <c r="B35" s="6"/>
      <c r="C35" s="6"/>
      <c r="D35" s="6"/>
      <c r="E35" s="6"/>
      <c r="F35" s="6"/>
      <c r="G35" s="10"/>
      <c r="H35" s="6"/>
    </row>
    <row r="36" spans="1:8" ht="15" customHeight="1" x14ac:dyDescent="0.25">
      <c r="A36" s="10"/>
      <c r="B36" s="6"/>
      <c r="C36" s="6"/>
      <c r="D36" s="6"/>
      <c r="E36" s="6"/>
      <c r="F36" s="6"/>
      <c r="G36" s="10"/>
      <c r="H36" s="6"/>
    </row>
    <row r="37" spans="1:8" ht="15" customHeight="1" x14ac:dyDescent="0.25">
      <c r="A37" s="10"/>
      <c r="B37" s="6"/>
      <c r="C37" s="6"/>
      <c r="D37" s="6"/>
      <c r="E37" s="6"/>
      <c r="F37" s="6"/>
      <c r="G37" s="10"/>
      <c r="H37" s="6"/>
    </row>
    <row r="38" spans="1:8" ht="15" customHeight="1" x14ac:dyDescent="0.25">
      <c r="A38" s="10"/>
      <c r="B38" s="6"/>
      <c r="C38" s="6"/>
      <c r="D38" s="6"/>
      <c r="E38" s="6"/>
      <c r="F38" s="6"/>
      <c r="G38" s="10"/>
      <c r="H38" s="6"/>
    </row>
    <row r="39" spans="1:8" ht="15" customHeight="1" x14ac:dyDescent="0.25">
      <c r="A39" s="10"/>
      <c r="B39" s="6"/>
      <c r="C39" s="6"/>
      <c r="D39" s="6"/>
      <c r="E39" s="6"/>
      <c r="F39" s="6"/>
      <c r="G39" s="10"/>
      <c r="H39" s="6"/>
    </row>
    <row r="40" spans="1:8" ht="15" customHeight="1" x14ac:dyDescent="0.25">
      <c r="A40" s="10"/>
      <c r="B40" s="6"/>
      <c r="C40" s="6"/>
      <c r="D40" s="6"/>
      <c r="E40" s="6"/>
      <c r="F40" s="6"/>
      <c r="G40" s="10"/>
      <c r="H40" s="6"/>
    </row>
    <row r="41" spans="1:8" ht="15" customHeight="1" x14ac:dyDescent="0.25">
      <c r="A41" s="10"/>
      <c r="B41" s="6"/>
      <c r="C41" s="6"/>
      <c r="D41" s="6"/>
      <c r="E41" s="6"/>
      <c r="F41" s="6"/>
      <c r="G41" s="10"/>
      <c r="H41" s="6"/>
    </row>
    <row r="42" spans="1:8" ht="15" customHeight="1" x14ac:dyDescent="0.25">
      <c r="A42" s="10"/>
      <c r="B42" s="6"/>
      <c r="C42" s="6"/>
      <c r="D42" s="6"/>
      <c r="E42" s="6"/>
      <c r="F42" s="6"/>
      <c r="G42" s="10"/>
      <c r="H42" s="6"/>
    </row>
    <row r="43" spans="1:8" ht="15" customHeight="1" x14ac:dyDescent="0.25">
      <c r="A43" s="10"/>
      <c r="B43" s="6"/>
      <c r="C43" s="6"/>
      <c r="D43" s="6"/>
      <c r="E43" s="6"/>
      <c r="F43" s="6"/>
      <c r="G43" s="10"/>
      <c r="H43" s="6"/>
    </row>
    <row r="44" spans="1:8" ht="15" customHeight="1" x14ac:dyDescent="0.25">
      <c r="A44" s="10"/>
      <c r="B44" s="6"/>
      <c r="C44" s="6"/>
      <c r="D44" s="6"/>
      <c r="E44" s="6"/>
      <c r="F44" s="6"/>
      <c r="G44" s="10"/>
      <c r="H44" s="6"/>
    </row>
    <row r="45" spans="1:8" ht="15" customHeight="1" x14ac:dyDescent="0.25">
      <c r="A45" s="10"/>
      <c r="B45" s="6"/>
      <c r="C45" s="6"/>
      <c r="D45" s="6"/>
      <c r="E45" s="6"/>
      <c r="F45" s="6"/>
      <c r="G45" s="10"/>
      <c r="H45" s="6"/>
    </row>
    <row r="46" spans="1:8" ht="15" customHeight="1" x14ac:dyDescent="0.25">
      <c r="A46" s="10"/>
      <c r="B46" s="6"/>
      <c r="C46" s="6"/>
      <c r="D46" s="6"/>
      <c r="E46" s="6"/>
      <c r="F46" s="6"/>
      <c r="G46" s="10"/>
      <c r="H46" s="6"/>
    </row>
    <row r="47" spans="1:8" ht="15" customHeight="1" x14ac:dyDescent="0.25">
      <c r="A47" s="10"/>
      <c r="B47" s="6"/>
      <c r="C47" s="6"/>
      <c r="D47" s="6"/>
      <c r="E47" s="6"/>
      <c r="F47" s="6"/>
      <c r="G47" s="10"/>
      <c r="H47" s="6"/>
    </row>
    <row r="48" spans="1:8" ht="15" customHeight="1" x14ac:dyDescent="0.25">
      <c r="A48" s="10"/>
      <c r="B48" s="6"/>
      <c r="C48" s="6"/>
      <c r="D48" s="6"/>
      <c r="E48" s="6"/>
      <c r="F48" s="6"/>
      <c r="G48" s="10"/>
      <c r="H48" s="6"/>
    </row>
    <row r="49" spans="1:8" ht="15" customHeight="1" x14ac:dyDescent="0.25">
      <c r="A49" s="10"/>
      <c r="B49" s="6"/>
      <c r="C49" s="6"/>
      <c r="D49" s="6"/>
      <c r="E49" s="6"/>
      <c r="F49" s="6"/>
      <c r="G49" s="10"/>
      <c r="H49" s="6"/>
    </row>
    <row r="50" spans="1:8" ht="15" customHeight="1" x14ac:dyDescent="0.25">
      <c r="A50" s="10"/>
      <c r="B50" s="6"/>
      <c r="C50" s="6"/>
      <c r="D50" s="6"/>
      <c r="E50" s="6"/>
      <c r="F50" s="6"/>
      <c r="G50" s="10"/>
      <c r="H50" s="6"/>
    </row>
    <row r="51" spans="1:8" ht="15" customHeight="1" x14ac:dyDescent="0.25">
      <c r="A51" s="10"/>
      <c r="B51" s="6"/>
      <c r="C51" s="6"/>
      <c r="D51" s="6"/>
      <c r="E51" s="6"/>
      <c r="F51" s="6"/>
      <c r="G51" s="10"/>
      <c r="H51" s="6"/>
    </row>
    <row r="52" spans="1:8" ht="15" customHeight="1" x14ac:dyDescent="0.25">
      <c r="A52" s="10"/>
      <c r="B52" s="6"/>
      <c r="C52" s="6"/>
      <c r="D52" s="6"/>
      <c r="E52" s="6"/>
      <c r="F52" s="6"/>
      <c r="G52" s="10"/>
      <c r="H52" s="6"/>
    </row>
    <row r="53" spans="1:8" ht="15" customHeight="1" x14ac:dyDescent="0.25">
      <c r="A53" s="10"/>
      <c r="B53" s="6"/>
      <c r="C53" s="6"/>
      <c r="D53" s="6"/>
      <c r="E53" s="6"/>
      <c r="F53" s="6"/>
      <c r="G53" s="10"/>
      <c r="H53" s="6"/>
    </row>
    <row r="54" spans="1:8" ht="15" customHeight="1" x14ac:dyDescent="0.25">
      <c r="A54" s="10"/>
      <c r="B54" s="6"/>
      <c r="C54" s="6"/>
      <c r="D54" s="6"/>
      <c r="E54" s="6"/>
      <c r="F54" s="6"/>
      <c r="G54" s="10"/>
      <c r="H54" s="6"/>
    </row>
    <row r="55" spans="1:8" ht="15" customHeight="1" x14ac:dyDescent="0.25">
      <c r="A55" s="10"/>
      <c r="B55" s="6"/>
      <c r="C55" s="6"/>
      <c r="D55" s="6"/>
      <c r="E55" s="6"/>
      <c r="F55" s="6"/>
      <c r="G55" s="10"/>
      <c r="H55" s="6"/>
    </row>
    <row r="56" spans="1:8" ht="15" customHeight="1" x14ac:dyDescent="0.25">
      <c r="A56" s="10"/>
      <c r="B56" s="6"/>
      <c r="C56" s="6"/>
      <c r="D56" s="6"/>
      <c r="E56" s="6"/>
      <c r="F56" s="6"/>
      <c r="G56" s="10"/>
      <c r="H56" s="6"/>
    </row>
    <row r="57" spans="1:8" ht="15" customHeight="1" x14ac:dyDescent="0.25">
      <c r="A57" s="10"/>
      <c r="B57" s="6"/>
      <c r="C57" s="6"/>
      <c r="D57" s="6"/>
      <c r="E57" s="6"/>
      <c r="F57" s="6"/>
      <c r="G57" s="10"/>
      <c r="H57" s="6"/>
    </row>
    <row r="58" spans="1:8" ht="15" customHeight="1" x14ac:dyDescent="0.25">
      <c r="A58" s="10"/>
      <c r="B58" s="6"/>
      <c r="C58" s="6"/>
      <c r="D58" s="6"/>
      <c r="E58" s="6"/>
      <c r="F58" s="6"/>
      <c r="G58" s="10"/>
      <c r="H58" s="6"/>
    </row>
    <row r="59" spans="1:8" ht="15" customHeight="1" x14ac:dyDescent="0.25">
      <c r="A59" s="10"/>
      <c r="B59" s="6"/>
      <c r="C59" s="6"/>
      <c r="D59" s="6"/>
      <c r="E59" s="6"/>
      <c r="F59" s="6"/>
      <c r="G59" s="10"/>
      <c r="H59" s="6"/>
    </row>
    <row r="60" spans="1:8" ht="15" customHeight="1" x14ac:dyDescent="0.25">
      <c r="A60" s="10"/>
      <c r="B60" s="6"/>
      <c r="C60" s="6"/>
      <c r="D60" s="6"/>
      <c r="E60" s="6"/>
      <c r="F60" s="6"/>
      <c r="G60" s="10"/>
      <c r="H60" s="6"/>
    </row>
    <row r="61" spans="1:8" ht="15" customHeight="1" x14ac:dyDescent="0.25">
      <c r="A61" s="10"/>
      <c r="B61" s="6"/>
      <c r="C61" s="6"/>
      <c r="D61" s="6"/>
      <c r="E61" s="6"/>
      <c r="F61" s="6"/>
      <c r="G61" s="10"/>
      <c r="H61" s="6"/>
    </row>
    <row r="62" spans="1:8" ht="15" customHeight="1" x14ac:dyDescent="0.25">
      <c r="A62" s="10"/>
      <c r="B62" s="6"/>
      <c r="C62" s="6"/>
      <c r="D62" s="6"/>
      <c r="E62" s="6"/>
      <c r="F62" s="6"/>
      <c r="G62" s="10"/>
      <c r="H62" s="6"/>
    </row>
    <row r="63" spans="1:8" ht="15" customHeight="1" x14ac:dyDescent="0.25">
      <c r="A63" s="10"/>
      <c r="B63" s="6"/>
      <c r="C63" s="6"/>
      <c r="D63" s="6"/>
      <c r="E63" s="6"/>
      <c r="F63" s="6"/>
      <c r="G63" s="10"/>
      <c r="H63" s="6"/>
    </row>
    <row r="64" spans="1:8" ht="15" customHeight="1" x14ac:dyDescent="0.25">
      <c r="A64" s="10"/>
      <c r="B64" s="6"/>
      <c r="C64" s="6"/>
      <c r="D64" s="6"/>
      <c r="E64" s="6"/>
      <c r="F64" s="6"/>
      <c r="G64" s="10"/>
      <c r="H64" s="6"/>
    </row>
    <row r="65" spans="1:8" ht="15" customHeight="1" x14ac:dyDescent="0.25">
      <c r="A65" s="10"/>
      <c r="B65" s="6"/>
      <c r="C65" s="6"/>
      <c r="D65" s="6"/>
      <c r="E65" s="6"/>
      <c r="F65" s="6"/>
      <c r="G65" s="10"/>
      <c r="H65" s="6"/>
    </row>
    <row r="66" spans="1:8" ht="15" customHeight="1" x14ac:dyDescent="0.25">
      <c r="A66" s="10"/>
      <c r="B66" s="6"/>
      <c r="C66" s="6"/>
      <c r="D66" s="6"/>
      <c r="E66" s="6"/>
      <c r="F66" s="6"/>
      <c r="G66" s="10"/>
      <c r="H66" s="6"/>
    </row>
    <row r="67" spans="1:8" ht="15" customHeight="1" x14ac:dyDescent="0.25">
      <c r="A67" s="10"/>
      <c r="B67" s="6"/>
      <c r="C67" s="6"/>
      <c r="D67" s="6"/>
      <c r="E67" s="6"/>
      <c r="F67" s="6"/>
      <c r="G67" s="10"/>
      <c r="H67" s="6"/>
    </row>
    <row r="68" spans="1:8" ht="15" customHeight="1" x14ac:dyDescent="0.25">
      <c r="A68" s="10"/>
      <c r="B68" s="6"/>
      <c r="C68" s="6"/>
      <c r="D68" s="6"/>
      <c r="E68" s="6"/>
      <c r="F68" s="6"/>
      <c r="G68" s="10"/>
      <c r="H68" s="6"/>
    </row>
    <row r="69" spans="1:8" ht="15" customHeight="1" x14ac:dyDescent="0.25">
      <c r="A69" s="10"/>
      <c r="B69" s="6"/>
      <c r="C69" s="6"/>
      <c r="D69" s="6"/>
      <c r="E69" s="6"/>
      <c r="F69" s="6"/>
      <c r="G69" s="10"/>
      <c r="H69" s="6"/>
    </row>
    <row r="70" spans="1:8" ht="15" customHeight="1" x14ac:dyDescent="0.25">
      <c r="A70" s="10"/>
      <c r="B70" s="6"/>
      <c r="C70" s="6"/>
      <c r="D70" s="6"/>
      <c r="E70" s="6"/>
      <c r="F70" s="6"/>
      <c r="G70" s="10"/>
      <c r="H70" s="6"/>
    </row>
    <row r="71" spans="1:8" ht="15" customHeight="1" x14ac:dyDescent="0.25">
      <c r="A71" s="10"/>
      <c r="B71" s="6"/>
      <c r="C71" s="6"/>
      <c r="D71" s="6"/>
      <c r="E71" s="6"/>
      <c r="F71" s="6"/>
      <c r="G71" s="10"/>
      <c r="H71" s="6"/>
    </row>
    <row r="72" spans="1:8" ht="15" customHeight="1" x14ac:dyDescent="0.25">
      <c r="A72" s="10"/>
      <c r="B72" s="6"/>
      <c r="C72" s="6"/>
      <c r="D72" s="6"/>
      <c r="E72" s="6"/>
      <c r="F72" s="6"/>
      <c r="G72" s="10"/>
      <c r="H72" s="6"/>
    </row>
    <row r="73" spans="1:8" ht="15" customHeight="1" x14ac:dyDescent="0.25">
      <c r="A73" s="10"/>
      <c r="B73" s="6"/>
      <c r="C73" s="6"/>
      <c r="D73" s="6"/>
      <c r="E73" s="6"/>
      <c r="F73" s="6"/>
      <c r="G73" s="10"/>
      <c r="H73" s="6"/>
    </row>
    <row r="74" spans="1:8" ht="15" customHeight="1" x14ac:dyDescent="0.25">
      <c r="A74" s="10"/>
      <c r="B74" s="6"/>
      <c r="C74" s="6"/>
      <c r="D74" s="6"/>
      <c r="E74" s="6"/>
      <c r="F74" s="6"/>
      <c r="G74" s="10"/>
      <c r="H74" s="6"/>
    </row>
    <row r="75" spans="1:8" ht="15" customHeight="1" x14ac:dyDescent="0.25">
      <c r="A75" s="10"/>
      <c r="B75" s="6"/>
      <c r="C75" s="6"/>
      <c r="D75" s="6"/>
      <c r="E75" s="6"/>
      <c r="F75" s="6"/>
      <c r="G75" s="10"/>
      <c r="H75" s="6"/>
    </row>
    <row r="76" spans="1:8" ht="15" customHeight="1" x14ac:dyDescent="0.25">
      <c r="A76" s="10"/>
      <c r="B76" s="6"/>
      <c r="C76" s="6"/>
      <c r="D76" s="6"/>
      <c r="E76" s="6"/>
      <c r="F76" s="6"/>
      <c r="G76" s="10"/>
      <c r="H76" s="6"/>
    </row>
    <row r="77" spans="1:8" ht="15" customHeight="1" x14ac:dyDescent="0.25">
      <c r="A77" s="10"/>
      <c r="B77" s="6"/>
      <c r="C77" s="6"/>
      <c r="D77" s="6"/>
      <c r="E77" s="6"/>
      <c r="F77" s="6"/>
      <c r="G77" s="10"/>
      <c r="H77" s="6"/>
    </row>
    <row r="78" spans="1:8" ht="15" customHeight="1" x14ac:dyDescent="0.25">
      <c r="A78" s="10"/>
      <c r="B78" s="6"/>
      <c r="C78" s="6"/>
      <c r="D78" s="6"/>
      <c r="E78" s="6"/>
      <c r="F78" s="6"/>
      <c r="G78" s="10"/>
      <c r="H78" s="6"/>
    </row>
    <row r="79" spans="1:8" ht="15" customHeight="1" x14ac:dyDescent="0.25">
      <c r="A79" s="10"/>
      <c r="B79" s="6"/>
      <c r="C79" s="6"/>
      <c r="D79" s="6"/>
      <c r="E79" s="6"/>
      <c r="F79" s="6"/>
      <c r="G79" s="10"/>
      <c r="H79" s="6"/>
    </row>
    <row r="80" spans="1:8" ht="15" customHeight="1" x14ac:dyDescent="0.25">
      <c r="A80" s="10"/>
      <c r="B80" s="6"/>
      <c r="C80" s="6"/>
      <c r="D80" s="6"/>
      <c r="E80" s="6"/>
      <c r="F80" s="6"/>
      <c r="G80" s="10"/>
      <c r="H80" s="6"/>
    </row>
    <row r="81" spans="1:8" ht="15" customHeight="1" x14ac:dyDescent="0.25">
      <c r="A81" s="10"/>
      <c r="B81" s="6"/>
      <c r="C81" s="6"/>
      <c r="D81" s="6"/>
      <c r="E81" s="6"/>
      <c r="F81" s="6"/>
      <c r="G81" s="10"/>
      <c r="H81" s="6"/>
    </row>
    <row r="82" spans="1:8" ht="15" customHeight="1" x14ac:dyDescent="0.25">
      <c r="A82" s="10"/>
      <c r="B82" s="6"/>
      <c r="C82" s="6"/>
      <c r="D82" s="6"/>
      <c r="E82" s="6"/>
      <c r="F82" s="6"/>
      <c r="G82" s="10"/>
      <c r="H82" s="6"/>
    </row>
    <row r="83" spans="1:8" ht="15" customHeight="1" x14ac:dyDescent="0.25">
      <c r="A83" s="10"/>
      <c r="B83" s="6"/>
      <c r="C83" s="6"/>
      <c r="D83" s="6"/>
      <c r="E83" s="6"/>
      <c r="F83" s="6"/>
      <c r="G83" s="10"/>
      <c r="H83" s="6"/>
    </row>
    <row r="84" spans="1:8" ht="15" customHeight="1" x14ac:dyDescent="0.25">
      <c r="A84" s="10"/>
      <c r="B84" s="6"/>
      <c r="C84" s="6"/>
      <c r="D84" s="6"/>
      <c r="E84" s="6"/>
      <c r="F84" s="6"/>
      <c r="G84" s="10"/>
      <c r="H84" s="6"/>
    </row>
    <row r="85" spans="1:8" ht="15" customHeight="1" x14ac:dyDescent="0.25">
      <c r="A85" s="10"/>
      <c r="B85" s="6"/>
      <c r="C85" s="6"/>
      <c r="D85" s="6"/>
      <c r="E85" s="6"/>
      <c r="F85" s="6"/>
      <c r="G85" s="10"/>
      <c r="H85" s="6"/>
    </row>
    <row r="86" spans="1:8" ht="15" customHeight="1" x14ac:dyDescent="0.25">
      <c r="A86" s="10"/>
      <c r="B86" s="6"/>
      <c r="C86" s="6"/>
      <c r="D86" s="6"/>
      <c r="E86" s="6"/>
      <c r="F86" s="6"/>
      <c r="G86" s="10"/>
      <c r="H86" s="6"/>
    </row>
    <row r="87" spans="1:8" ht="15" customHeight="1" x14ac:dyDescent="0.25">
      <c r="A87" s="10"/>
      <c r="B87" s="6"/>
      <c r="C87" s="6"/>
      <c r="D87" s="6"/>
      <c r="E87" s="6"/>
      <c r="F87" s="6"/>
      <c r="G87" s="10"/>
      <c r="H87" s="6"/>
    </row>
    <row r="88" spans="1:8" ht="15" customHeight="1" x14ac:dyDescent="0.25">
      <c r="A88" s="10"/>
      <c r="B88" s="6"/>
      <c r="C88" s="6"/>
      <c r="D88" s="6"/>
      <c r="E88" s="6"/>
      <c r="F88" s="6"/>
      <c r="G88" s="10"/>
      <c r="H88" s="6"/>
    </row>
    <row r="89" spans="1:8" ht="15" customHeight="1" x14ac:dyDescent="0.25">
      <c r="A89" s="10"/>
      <c r="B89" s="6"/>
      <c r="C89" s="6"/>
      <c r="D89" s="6"/>
      <c r="E89" s="6"/>
      <c r="F89" s="6"/>
      <c r="G89" s="10"/>
      <c r="H89" s="6"/>
    </row>
    <row r="90" spans="1:8" ht="15" customHeight="1" x14ac:dyDescent="0.25">
      <c r="A90" s="10"/>
      <c r="B90" s="6"/>
      <c r="C90" s="6"/>
      <c r="D90" s="6"/>
      <c r="E90" s="6"/>
      <c r="F90" s="6"/>
      <c r="G90" s="10"/>
      <c r="H90" s="6"/>
    </row>
    <row r="91" spans="1:8" ht="15" customHeight="1" x14ac:dyDescent="0.25">
      <c r="A91" s="10"/>
      <c r="B91" s="6"/>
      <c r="C91" s="6"/>
      <c r="D91" s="6"/>
      <c r="E91" s="6"/>
      <c r="F91" s="6"/>
      <c r="G91" s="10"/>
      <c r="H91" s="6"/>
    </row>
    <row r="92" spans="1:8" ht="15" customHeight="1" x14ac:dyDescent="0.25">
      <c r="A92" s="10"/>
      <c r="B92" s="6"/>
      <c r="C92" s="6"/>
      <c r="D92" s="6"/>
      <c r="E92" s="6"/>
      <c r="F92" s="6"/>
      <c r="G92" s="10"/>
      <c r="H92" s="6"/>
    </row>
    <row r="93" spans="1:8" ht="15" customHeight="1" x14ac:dyDescent="0.25">
      <c r="A93" s="10"/>
      <c r="B93" s="6"/>
      <c r="C93" s="6"/>
      <c r="D93" s="6"/>
      <c r="E93" s="6"/>
      <c r="F93" s="6"/>
      <c r="G93" s="10"/>
      <c r="H93" s="6"/>
    </row>
    <row r="94" spans="1:8" ht="15" customHeight="1" x14ac:dyDescent="0.25">
      <c r="A94" s="10"/>
      <c r="B94" s="6"/>
      <c r="C94" s="6"/>
      <c r="D94" s="6"/>
      <c r="E94" s="6"/>
      <c r="F94" s="6"/>
      <c r="G94" s="10"/>
      <c r="H94" s="6"/>
    </row>
    <row r="95" spans="1:8" ht="15" customHeight="1" x14ac:dyDescent="0.25">
      <c r="A95" s="10"/>
      <c r="B95" s="6"/>
      <c r="C95" s="6"/>
      <c r="D95" s="6"/>
      <c r="E95" s="6"/>
      <c r="F95" s="6"/>
      <c r="G95" s="10"/>
      <c r="H95" s="6"/>
    </row>
    <row r="96" spans="1:8" ht="15" customHeight="1" x14ac:dyDescent="0.25">
      <c r="A96" s="10"/>
      <c r="B96" s="6"/>
      <c r="C96" s="6"/>
      <c r="D96" s="6"/>
      <c r="E96" s="6"/>
      <c r="F96" s="6"/>
      <c r="G96" s="10"/>
      <c r="H96" s="6"/>
    </row>
    <row r="97" spans="1:8" ht="15" customHeight="1" x14ac:dyDescent="0.25">
      <c r="A97" s="10"/>
      <c r="B97" s="6"/>
      <c r="C97" s="6"/>
      <c r="D97" s="6"/>
      <c r="E97" s="6"/>
      <c r="F97" s="6"/>
      <c r="G97" s="10"/>
      <c r="H97" s="6"/>
    </row>
    <row r="98" spans="1:8" ht="15" customHeight="1" x14ac:dyDescent="0.25">
      <c r="A98" s="10"/>
      <c r="B98" s="6"/>
      <c r="C98" s="6"/>
      <c r="D98" s="6"/>
      <c r="E98" s="6"/>
      <c r="F98" s="6"/>
      <c r="G98" s="10"/>
      <c r="H98" s="6"/>
    </row>
    <row r="99" spans="1:8" ht="15" customHeight="1" x14ac:dyDescent="0.25">
      <c r="A99" s="10"/>
      <c r="B99" s="6"/>
      <c r="C99" s="6"/>
      <c r="D99" s="6"/>
      <c r="E99" s="6"/>
      <c r="F99" s="6"/>
      <c r="G99" s="10"/>
      <c r="H99" s="6"/>
    </row>
    <row r="100" spans="1:8" ht="15" customHeight="1" x14ac:dyDescent="0.25">
      <c r="A100" s="10"/>
      <c r="B100" s="6"/>
      <c r="C100" s="6"/>
      <c r="D100" s="6"/>
      <c r="E100" s="6"/>
      <c r="F100" s="6"/>
      <c r="G100" s="10"/>
      <c r="H100" s="6"/>
    </row>
    <row r="101" spans="1:8" ht="15" customHeight="1" x14ac:dyDescent="0.25">
      <c r="A101" s="10"/>
      <c r="B101" s="6"/>
      <c r="C101" s="6"/>
      <c r="D101" s="6"/>
      <c r="E101" s="6"/>
      <c r="F101" s="6"/>
      <c r="G101" s="10"/>
      <c r="H101" s="6"/>
    </row>
  </sheetData>
  <mergeCells count="1">
    <mergeCell ref="A1:H1"/>
  </mergeCells>
  <conditionalFormatting sqref="H3:H101">
    <cfRule type="expression" dxfId="4" priority="2">
      <formula>H3="Resolved"</formula>
    </cfRule>
    <cfRule type="expression" dxfId="3" priority="3">
      <formula>H3="In Progress"</formula>
    </cfRule>
    <cfRule type="expression" dxfId="2" priority="4">
      <formula>H3="Escalated"</formula>
    </cfRule>
  </conditionalFormatting>
  <dataValidations count="2">
    <dataValidation type="list" sqref="B3:B4 B6:B101" xr:uid="{00000000-0002-0000-0500-000000000000}">
      <formula1>"Unit 1 / Phase 1,Phase 2,Phase 3,Final"</formula1>
      <formula2>0</formula2>
    </dataValidation>
    <dataValidation type="list" sqref="H3:H101" xr:uid="{00000000-0002-0000-0500-000001000000}">
      <formula1>"Open,In Progress,Resolved,Escalated"</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A13" zoomScaleNormal="100" workbookViewId="0">
      <selection activeCell="A46" sqref="A46"/>
    </sheetView>
  </sheetViews>
  <sheetFormatPr defaultColWidth="8.7109375" defaultRowHeight="15" x14ac:dyDescent="0.25"/>
  <cols>
    <col min="1" max="1" width="110" style="14" customWidth="1"/>
    <col min="2" max="2" width="58" style="14" customWidth="1"/>
    <col min="3" max="3" width="3" style="14" customWidth="1"/>
    <col min="4" max="4" width="40" style="14" customWidth="1"/>
    <col min="5" max="5" width="12" style="14" customWidth="1"/>
    <col min="6" max="6" width="3" style="14" customWidth="1"/>
  </cols>
  <sheetData>
    <row r="1" spans="1:6" ht="19.5" customHeight="1" x14ac:dyDescent="0.25">
      <c r="A1" s="16" t="s">
        <v>386</v>
      </c>
      <c r="B1" s="17"/>
      <c r="C1" s="17"/>
      <c r="D1" s="17"/>
      <c r="E1" s="17"/>
      <c r="F1" s="17"/>
    </row>
    <row r="2" spans="1:6" x14ac:dyDescent="0.25">
      <c r="A2" s="13" t="s">
        <v>387</v>
      </c>
    </row>
    <row r="3" spans="1:6" ht="14.25" customHeight="1" x14ac:dyDescent="0.25">
      <c r="A3" s="15" t="s">
        <v>388</v>
      </c>
      <c r="B3" s="15" t="s">
        <v>42</v>
      </c>
      <c r="D3" s="20" t="s">
        <v>389</v>
      </c>
      <c r="E3" s="17"/>
      <c r="F3" s="17"/>
    </row>
    <row r="4" spans="1:6" ht="21" customHeight="1" x14ac:dyDescent="0.25">
      <c r="A4" s="1" t="s">
        <v>57</v>
      </c>
      <c r="B4" s="3" t="s">
        <v>36</v>
      </c>
      <c r="D4" s="1" t="s">
        <v>390</v>
      </c>
      <c r="E4" t="s">
        <v>96</v>
      </c>
    </row>
    <row r="5" spans="1:6" ht="21" customHeight="1" x14ac:dyDescent="0.25">
      <c r="A5" s="1" t="s">
        <v>59</v>
      </c>
      <c r="B5" s="3" t="s">
        <v>60</v>
      </c>
      <c r="D5" s="1" t="s">
        <v>391</v>
      </c>
      <c r="E5" t="s">
        <v>96</v>
      </c>
    </row>
    <row r="6" spans="1:6" ht="21" customHeight="1" x14ac:dyDescent="0.25">
      <c r="A6" s="1" t="s">
        <v>392</v>
      </c>
      <c r="B6" s="3" t="s">
        <v>47</v>
      </c>
      <c r="D6" s="1" t="s">
        <v>393</v>
      </c>
      <c r="E6" t="s">
        <v>96</v>
      </c>
    </row>
    <row r="7" spans="1:6" ht="81" customHeight="1" x14ac:dyDescent="0.25">
      <c r="A7" s="1" t="s">
        <v>394</v>
      </c>
      <c r="B7" s="3" t="s">
        <v>395</v>
      </c>
      <c r="D7" s="1" t="s">
        <v>396</v>
      </c>
      <c r="E7" t="s">
        <v>96</v>
      </c>
    </row>
    <row r="8" spans="1:6" ht="81" customHeight="1" x14ac:dyDescent="0.25">
      <c r="A8" s="1" t="s">
        <v>397</v>
      </c>
      <c r="B8" s="3" t="s">
        <v>398</v>
      </c>
      <c r="D8" s="1" t="s">
        <v>399</v>
      </c>
      <c r="E8" t="s">
        <v>96</v>
      </c>
    </row>
    <row r="9" spans="1:6" ht="36" customHeight="1" x14ac:dyDescent="0.25">
      <c r="A9" s="1" t="s">
        <v>400</v>
      </c>
      <c r="B9" s="3" t="s">
        <v>401</v>
      </c>
      <c r="D9" s="1" t="s">
        <v>402</v>
      </c>
      <c r="E9" t="s">
        <v>96</v>
      </c>
    </row>
    <row r="10" spans="1:6" ht="96" customHeight="1" x14ac:dyDescent="0.25">
      <c r="A10" s="1" t="s">
        <v>403</v>
      </c>
      <c r="B10" s="3" t="s">
        <v>404</v>
      </c>
      <c r="D10" s="1" t="s">
        <v>405</v>
      </c>
      <c r="E10" t="s">
        <v>96</v>
      </c>
    </row>
    <row r="11" spans="1:6" ht="66" customHeight="1" x14ac:dyDescent="0.25">
      <c r="A11" s="1" t="s">
        <v>406</v>
      </c>
      <c r="B11" s="3" t="s">
        <v>407</v>
      </c>
      <c r="D11" s="1" t="s">
        <v>408</v>
      </c>
      <c r="E11" t="s">
        <v>96</v>
      </c>
    </row>
    <row r="12" spans="1:6" ht="66" customHeight="1" x14ac:dyDescent="0.25">
      <c r="A12" s="1" t="s">
        <v>409</v>
      </c>
      <c r="B12" s="3" t="s">
        <v>410</v>
      </c>
      <c r="D12" s="1" t="s">
        <v>411</v>
      </c>
      <c r="E12" t="s">
        <v>96</v>
      </c>
    </row>
    <row r="13" spans="1:6" ht="66" customHeight="1" x14ac:dyDescent="0.25">
      <c r="A13" s="1" t="s">
        <v>412</v>
      </c>
      <c r="B13" s="3" t="s">
        <v>413</v>
      </c>
    </row>
  </sheetData>
  <mergeCells count="2">
    <mergeCell ref="D3:F3"/>
    <mergeCell ref="A1:F1"/>
  </mergeCells>
  <conditionalFormatting sqref="E4:E12">
    <cfRule type="expression" dxfId="1" priority="2">
      <formula>E4="Yes"</formula>
    </cfRule>
    <cfRule type="expression" dxfId="0" priority="3">
      <formula>E4="No"</formula>
    </cfRule>
  </conditionalFormatting>
  <dataValidations count="3">
    <dataValidation type="list" sqref="B4" xr:uid="{00000000-0002-0000-0600-000000000000}">
      <formula1>"Unit 1 / Phase 1,Phase 2,Phase 3,Final"</formula1>
      <formula2>0</formula2>
    </dataValidation>
    <dataValidation type="list" sqref="B6" xr:uid="{00000000-0002-0000-0600-000001000000}">
      <formula1>"Not Started,In Progress,Completed,Delayed,Blocked"</formula1>
      <formula2>0</formula2>
    </dataValidation>
    <dataValidation type="list" sqref="E4:E12" xr:uid="{00000000-0002-0000-0600-000002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10" zoomScaleNormal="100" workbookViewId="0">
      <selection activeCell="E4" sqref="E4"/>
    </sheetView>
  </sheetViews>
  <sheetFormatPr defaultColWidth="8.7109375" defaultRowHeight="15" x14ac:dyDescent="0.25"/>
  <cols>
    <col min="1" max="1" width="38" style="14" customWidth="1"/>
    <col min="2" max="2" width="62" style="14" customWidth="1"/>
    <col min="3" max="3" width="3" style="14" customWidth="1"/>
    <col min="4" max="4" width="20" style="14" customWidth="1"/>
    <col min="5" max="5" width="48" style="14" customWidth="1"/>
    <col min="6" max="6" width="3" style="14" customWidth="1"/>
  </cols>
  <sheetData>
    <row r="1" spans="1:6" ht="19.5" customHeight="1" x14ac:dyDescent="0.25">
      <c r="A1" s="16" t="s">
        <v>29</v>
      </c>
      <c r="B1" s="17"/>
      <c r="C1" s="17"/>
      <c r="D1" s="17"/>
      <c r="E1" s="17"/>
      <c r="F1" s="17"/>
    </row>
    <row r="3" spans="1:6" ht="14.25" customHeight="1" x14ac:dyDescent="0.25">
      <c r="A3" s="15" t="s">
        <v>414</v>
      </c>
      <c r="B3" s="15" t="s">
        <v>42</v>
      </c>
      <c r="D3" s="20" t="s">
        <v>415</v>
      </c>
      <c r="E3" s="17"/>
      <c r="F3" s="17"/>
    </row>
    <row r="4" spans="1:6" ht="21" customHeight="1" x14ac:dyDescent="0.25">
      <c r="A4" s="1" t="s">
        <v>57</v>
      </c>
      <c r="B4" s="3" t="s">
        <v>36</v>
      </c>
      <c r="D4" s="1" t="s">
        <v>416</v>
      </c>
      <c r="E4" s="2" t="s">
        <v>417</v>
      </c>
    </row>
    <row r="5" spans="1:6" ht="27.75" customHeight="1" x14ac:dyDescent="0.25">
      <c r="A5" s="1" t="s">
        <v>48</v>
      </c>
      <c r="B5" s="3" t="s">
        <v>49</v>
      </c>
      <c r="D5" s="1" t="s">
        <v>418</v>
      </c>
      <c r="E5" s="2" t="s">
        <v>419</v>
      </c>
    </row>
    <row r="6" spans="1:6" ht="66" customHeight="1" x14ac:dyDescent="0.25">
      <c r="A6" s="1" t="s">
        <v>420</v>
      </c>
      <c r="B6" s="3" t="s">
        <v>421</v>
      </c>
      <c r="D6" s="1" t="s">
        <v>422</v>
      </c>
      <c r="E6" s="2" t="s">
        <v>423</v>
      </c>
    </row>
    <row r="7" spans="1:6" ht="66" customHeight="1" x14ac:dyDescent="0.25">
      <c r="A7" s="1" t="s">
        <v>424</v>
      </c>
      <c r="B7" s="3" t="s">
        <v>425</v>
      </c>
      <c r="D7" s="1" t="s">
        <v>426</v>
      </c>
      <c r="E7" s="2" t="s">
        <v>427</v>
      </c>
    </row>
    <row r="8" spans="1:6" ht="81" customHeight="1" x14ac:dyDescent="0.25">
      <c r="A8" s="1" t="s">
        <v>428</v>
      </c>
      <c r="B8" s="3" t="s">
        <v>429</v>
      </c>
      <c r="D8" s="1" t="s">
        <v>430</v>
      </c>
      <c r="E8" s="2" t="s">
        <v>431</v>
      </c>
    </row>
    <row r="9" spans="1:6" ht="81" customHeight="1" x14ac:dyDescent="0.25">
      <c r="A9" s="1" t="s">
        <v>432</v>
      </c>
      <c r="B9" s="3" t="s">
        <v>433</v>
      </c>
    </row>
    <row r="10" spans="1:6" ht="66" customHeight="1" x14ac:dyDescent="0.25">
      <c r="A10" s="1" t="s">
        <v>434</v>
      </c>
      <c r="B10" s="3" t="s">
        <v>435</v>
      </c>
    </row>
    <row r="11" spans="1:6" ht="51" customHeight="1" x14ac:dyDescent="0.25">
      <c r="A11" s="1" t="s">
        <v>436</v>
      </c>
      <c r="B11" s="3" t="s">
        <v>437</v>
      </c>
    </row>
    <row r="12" spans="1:6" ht="51" customHeight="1" x14ac:dyDescent="0.25">
      <c r="A12" s="1" t="s">
        <v>438</v>
      </c>
      <c r="B12" s="3" t="s">
        <v>439</v>
      </c>
    </row>
    <row r="13" spans="1:6" ht="36" customHeight="1" x14ac:dyDescent="0.25">
      <c r="A13" s="1" t="s">
        <v>440</v>
      </c>
      <c r="B13" s="3" t="s">
        <v>441</v>
      </c>
    </row>
    <row r="14" spans="1:6" ht="51" customHeight="1" x14ac:dyDescent="0.25">
      <c r="A14" s="1" t="s">
        <v>442</v>
      </c>
      <c r="B14" s="3" t="s">
        <v>443</v>
      </c>
    </row>
    <row r="15" spans="1:6" ht="51" customHeight="1" x14ac:dyDescent="0.25">
      <c r="A15" s="1" t="s">
        <v>444</v>
      </c>
      <c r="B15" s="3" t="s">
        <v>445</v>
      </c>
    </row>
  </sheetData>
  <mergeCells count="2">
    <mergeCell ref="D3:F3"/>
    <mergeCell ref="A1:F1"/>
  </mergeCells>
  <dataValidations count="1">
    <dataValidation type="list" sqref="B4" xr:uid="{00000000-0002-0000-0700-000000000000}">
      <formula1>"Unit 1 / Phase 1,Phase 2,Phase 3,Final"</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2</cp:revision>
  <dcterms:created xsi:type="dcterms:W3CDTF">2026-08-26T17:28:41Z</dcterms:created>
  <dcterms:modified xsi:type="dcterms:W3CDTF">2026-10-24T19:21:12Z</dcterms:modified>
  <dc:language>en-US</dc:language>
</cp:coreProperties>
</file>